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sario Barrios\Downloads\"/>
    </mc:Choice>
  </mc:AlternateContent>
  <bookViews>
    <workbookView xWindow="0" yWindow="0" windowWidth="16815" windowHeight="7905"/>
  </bookViews>
  <sheets>
    <sheet name="1-66unificado" sheetId="1" r:id="rId1"/>
    <sheet name="Imprimir" sheetId="2" r:id="rId2"/>
  </sheets>
  <definedNames>
    <definedName name="bd">#REF!</definedName>
    <definedName name="Database" localSheetId="0">'1-66unificado'!$A$1:$D$37</definedName>
    <definedName name="Database" localSheetId="1">Imprimir!$A$2:$D$38</definedName>
    <definedName name="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2" l="1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</calcChain>
</file>

<file path=xl/sharedStrings.xml><?xml version="1.0" encoding="utf-8"?>
<sst xmlns="http://schemas.openxmlformats.org/spreadsheetml/2006/main" count="475" uniqueCount="191">
  <si>
    <t>codigo_pozo</t>
  </si>
  <si>
    <t>nombre_lugar</t>
  </si>
  <si>
    <t>x</t>
  </si>
  <si>
    <t>y</t>
  </si>
  <si>
    <t>ele</t>
  </si>
  <si>
    <t>Fecha_muestreo</t>
  </si>
  <si>
    <t>N-Amoniacal (mg/L)</t>
  </si>
  <si>
    <t>N-Nitritos (mg/L)</t>
  </si>
  <si>
    <t>N-Nitratos (mg/L)</t>
  </si>
  <si>
    <t>Alcalinidad Total (mg/L)</t>
  </si>
  <si>
    <t>Materia Organica (mg/L)</t>
  </si>
  <si>
    <t>Conductividad (uS/cm)</t>
  </si>
  <si>
    <t>pH</t>
  </si>
  <si>
    <t>Bicarbonato (mg/L)</t>
  </si>
  <si>
    <t>Carbonato (mg/L)</t>
  </si>
  <si>
    <t>Sulfato  (mg/L)</t>
  </si>
  <si>
    <t>Magnesio  (mg/L)</t>
  </si>
  <si>
    <t>Calcio  (mg/L)</t>
  </si>
  <si>
    <t>Sodio  (mg/L)</t>
  </si>
  <si>
    <t>Potasio  (mg/L)</t>
  </si>
  <si>
    <t>Cloruro  (mg/L)</t>
  </si>
  <si>
    <t>Arsenico  (mg/L)</t>
  </si>
  <si>
    <t>Mercurio  (mg/L)</t>
  </si>
  <si>
    <t>Manganeso  (mg/L)</t>
  </si>
  <si>
    <t>Cobre  (mg/L)</t>
  </si>
  <si>
    <t>Cromo Total  (mg/L)</t>
  </si>
  <si>
    <t>Coliformes Fecales  (UFC/100 mL)</t>
  </si>
  <si>
    <t>CONTAMINACION</t>
  </si>
  <si>
    <t>01</t>
  </si>
  <si>
    <t>AGUATERIA YBU</t>
  </si>
  <si>
    <t>22-06-2018</t>
  </si>
  <si>
    <t>NO</t>
  </si>
  <si>
    <t>02</t>
  </si>
  <si>
    <t>TyC</t>
  </si>
  <si>
    <t>03</t>
  </si>
  <si>
    <t>PACHOLI</t>
  </si>
  <si>
    <t>04</t>
  </si>
  <si>
    <t>ACOSTA NU1</t>
  </si>
  <si>
    <t>05</t>
  </si>
  <si>
    <t>ACOSTA NU2</t>
  </si>
  <si>
    <t>06</t>
  </si>
  <si>
    <t>MUTUAL 29 DE SETIEMBRE</t>
  </si>
  <si>
    <t>27-06-2018</t>
  </si>
  <si>
    <t>07</t>
  </si>
  <si>
    <t>SOLARES DE LAMBARE</t>
  </si>
  <si>
    <t>08</t>
  </si>
  <si>
    <t>SAN ISIDRO</t>
  </si>
  <si>
    <t>09</t>
  </si>
  <si>
    <t>YRENDA</t>
  </si>
  <si>
    <t>10</t>
  </si>
  <si>
    <t>CONAVI</t>
  </si>
  <si>
    <t>11</t>
  </si>
  <si>
    <t>GULLON</t>
  </si>
  <si>
    <t>29-06-2018</t>
  </si>
  <si>
    <t>12</t>
  </si>
  <si>
    <t>AP PERFO CHACO</t>
  </si>
  <si>
    <t>13</t>
  </si>
  <si>
    <t>TUPASY YCUA</t>
  </si>
  <si>
    <t>14</t>
  </si>
  <si>
    <t>INDUSTRIAS PETEREBY SRL</t>
  </si>
  <si>
    <t>15</t>
  </si>
  <si>
    <t>AGUATERIA RINCON</t>
  </si>
  <si>
    <t>04-07-2018</t>
  </si>
  <si>
    <t>16</t>
  </si>
  <si>
    <t>AGUATERIA NAGASAKI</t>
  </si>
  <si>
    <t>17</t>
  </si>
  <si>
    <t>AGUATERIA SANTA RITA</t>
  </si>
  <si>
    <t>18</t>
  </si>
  <si>
    <t>AP GOMEZ RIOS</t>
  </si>
  <si>
    <t>09-07-2018</t>
  </si>
  <si>
    <t>19</t>
  </si>
  <si>
    <t>COM VECI SAN AGUSTIN</t>
  </si>
  <si>
    <t>20</t>
  </si>
  <si>
    <t>AP HIDRO SERVICE</t>
  </si>
  <si>
    <t>21</t>
  </si>
  <si>
    <t>AP SEPRAP</t>
  </si>
  <si>
    <t>22</t>
  </si>
  <si>
    <t>AP SAGRADA FAMILIA</t>
  </si>
  <si>
    <t>23</t>
  </si>
  <si>
    <t>AQUARIUS</t>
  </si>
  <si>
    <t>13-07-2018</t>
  </si>
  <si>
    <t>24</t>
  </si>
  <si>
    <t>AQUARIUS 2</t>
  </si>
  <si>
    <t>MERCADO ABASTO</t>
  </si>
  <si>
    <t>18-07-2018</t>
  </si>
  <si>
    <t>JS CAAGUY</t>
  </si>
  <si>
    <t>20-07-2018</t>
  </si>
  <si>
    <t>AP IND PETEREBY</t>
  </si>
  <si>
    <t>ESSAP</t>
  </si>
  <si>
    <t>AP SAN ANTONIO</t>
  </si>
  <si>
    <t>AP PETEREBY (AGUAS CENTRAL)</t>
  </si>
  <si>
    <t>25-07-2018</t>
  </si>
  <si>
    <t>JS 3 DE MAYO</t>
  </si>
  <si>
    <t>AP SAN JORGE</t>
  </si>
  <si>
    <t>AGUATERIA PANIAGUA</t>
  </si>
  <si>
    <t>26-07-2018</t>
  </si>
  <si>
    <t>JUNTA RINCON DEL PENON</t>
  </si>
  <si>
    <t>COMISION SANTA ROSA DE LIMA</t>
  </si>
  <si>
    <t>JS LIMPIO</t>
  </si>
  <si>
    <t>AP EMANUEL II</t>
  </si>
  <si>
    <t>31-07-2018</t>
  </si>
  <si>
    <t>AP MANUEL LOMBARDO (HOY VIAL CONSTRUCCIONES - LOS MANANTIALES)</t>
  </si>
  <si>
    <t>AP SERVICIO DE AGUA POTABLE CATALINO</t>
  </si>
  <si>
    <t>AP FLORENTIN</t>
  </si>
  <si>
    <t>01-08-2018</t>
  </si>
  <si>
    <t>SI</t>
  </si>
  <si>
    <t>COOP 19 MA</t>
  </si>
  <si>
    <t>AP CENTAURO HOY CENCER</t>
  </si>
  <si>
    <t>AP CAPI</t>
  </si>
  <si>
    <t>JS NEMBY</t>
  </si>
  <si>
    <t>23-08-2018</t>
  </si>
  <si>
    <t>AP CORAZON UNIDO</t>
  </si>
  <si>
    <t>PRIV ALTA CUMBRE</t>
  </si>
  <si>
    <t>24-08-2018</t>
  </si>
  <si>
    <t>PRIV ANDE BOGIANNI</t>
  </si>
  <si>
    <t>PRIV FRANCISCO MENDOZA</t>
  </si>
  <si>
    <t>25-09-2018</t>
  </si>
  <si>
    <t>PRIV COL CAMPO ALTO</t>
  </si>
  <si>
    <t>ESC VICENTE MONGELOS</t>
  </si>
  <si>
    <t>11-09-2018</t>
  </si>
  <si>
    <t>ESC JUANA DE LARA</t>
  </si>
  <si>
    <t>12-09-2018</t>
  </si>
  <si>
    <t>ESC JUAN MANUEL FRUTOS</t>
  </si>
  <si>
    <t>ESC DESPERTAR FE Y ALEGRIA</t>
  </si>
  <si>
    <t>18-09-2018</t>
  </si>
  <si>
    <t>ESC FELIX RUIZ</t>
  </si>
  <si>
    <t>COL FERNANDO DE LA MORA</t>
  </si>
  <si>
    <t>02-10-2018</t>
  </si>
  <si>
    <t>ESC GRAD PATRICIO ESCOBAR</t>
  </si>
  <si>
    <t>ESC JULIO COSME GUTIERREZ</t>
  </si>
  <si>
    <t>04-10-2018</t>
  </si>
  <si>
    <t>COL NAC ROSA AGUSTINA FARIÑA</t>
  </si>
  <si>
    <t>ESC BASICA 539 HEROES LUQUEÑOS</t>
  </si>
  <si>
    <t>11-10-2018</t>
  </si>
  <si>
    <t>PRIV ELIO BENVENISTE</t>
  </si>
  <si>
    <t>COLEGIO NACIONAL SAN LORENZO</t>
  </si>
  <si>
    <t>02-11-2018</t>
  </si>
  <si>
    <t>ESCUELA GRAD. N° 330 MARGARITA VEIA</t>
  </si>
  <si>
    <t>ESCUELA SAN FRANCISCO DE ASIS</t>
  </si>
  <si>
    <t>06-11-2018</t>
  </si>
  <si>
    <t>ESCUELA SAN SEBASTIAN</t>
  </si>
  <si>
    <t>FRIGORIFICO GUARANI</t>
  </si>
  <si>
    <t>30-11-2018</t>
  </si>
  <si>
    <t>AGUA VIVA MUNICIPALIDAD VILLA ELISA</t>
  </si>
  <si>
    <t>07-08-2018</t>
  </si>
  <si>
    <t>Báez, L., Villalba, C. y Nogués, J.P. (2019). Proyecto INV-190 “Monitoreo y simulación de transporte de contaminantes en zonas urbanas del acuífero Patiño”. Consejo Nacional de Ciencia y Tecnología (CONACYT), Facultad Politécnica de la UNA.</t>
  </si>
  <si>
    <t>No</t>
  </si>
  <si>
    <t>Nombre_lugar</t>
  </si>
  <si>
    <t>Col_Fecales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</si>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</sst>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000000000000"/>
    <numFmt numFmtId="167" formatCode="0.0"/>
    <numFmt numFmtId="168" formatCode="0.00000"/>
  </numFmts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/>
    <xf numFmtId="166" fontId="1" fillId="0" borderId="0" xfId="0" applyNumberFormat="1" applyFont="1"/>
    <xf numFmtId="0" fontId="1" fillId="0" borderId="0" xfId="0" applyFont="1"/>
    <xf numFmtId="1" fontId="2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/>
    <xf numFmtId="166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0" fillId="0" borderId="0" xfId="0" applyNumberFormat="1"/>
    <xf numFmtId="168" fontId="0" fillId="0" borderId="0" xfId="0" applyNumberFormat="1"/>
    <xf numFmtId="167" fontId="0" fillId="0" borderId="0" xfId="0" applyNumberFormat="1"/>
    <xf numFmtId="166" fontId="0" fillId="0" borderId="0" xfId="0" applyNumberFormat="1"/>
    <xf numFmtId="1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" fontId="0" fillId="0" borderId="1" xfId="0" applyNumberFormat="1" applyBorder="1"/>
    <xf numFmtId="168" fontId="0" fillId="0" borderId="1" xfId="0" applyNumberFormat="1" applyBorder="1"/>
    <xf numFmtId="167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1" fontId="0" fillId="0" borderId="5" xfId="0" applyNumberFormat="1" applyBorder="1"/>
    <xf numFmtId="167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7"/>
  <sheetViews>
    <sheetView tabSelected="1" topLeftCell="X1" workbookViewId="0">
      <pane ySplit="1" topLeftCell="A47" activePane="bottomLeft" state="frozen"/>
      <selection pane="bottomLeft" activeCell="AB68" sqref="AB68"/>
    </sheetView>
  </sheetViews>
  <sheetFormatPr baseColWidth="10" defaultColWidth="11" defaultRowHeight="15"/>
  <cols>
    <col min="1" max="1" width="12.140625" style="16" customWidth="1"/>
    <col min="2" max="2" width="31.42578125" style="16" customWidth="1"/>
    <col min="3" max="3" width="16.5703125" style="17" customWidth="1"/>
    <col min="4" max="4" width="16.85546875" style="17" customWidth="1"/>
    <col min="5" max="5" width="10.140625" style="18" customWidth="1"/>
    <col min="6" max="6" width="17.5703125" style="19" customWidth="1"/>
    <col min="7" max="7" width="18.85546875" customWidth="1"/>
    <col min="8" max="9" width="16.28515625" customWidth="1"/>
    <col min="10" max="10" width="22.28515625" customWidth="1"/>
    <col min="11" max="11" width="22.7109375" customWidth="1"/>
    <col min="12" max="12" width="21.42578125" customWidth="1"/>
    <col min="15" max="15" width="16.5703125" customWidth="1"/>
    <col min="16" max="16" width="14" customWidth="1"/>
    <col min="17" max="17" width="16.5703125" customWidth="1"/>
    <col min="18" max="18" width="13" customWidth="1"/>
    <col min="19" max="19" width="12.7109375" customWidth="1"/>
    <col min="20" max="21" width="14.28515625" customWidth="1"/>
    <col min="22" max="22" width="15.42578125" customWidth="1"/>
    <col min="23" max="23" width="15.85546875" customWidth="1"/>
    <col min="24" max="24" width="18.140625" customWidth="1"/>
    <col min="25" max="25" width="13" customWidth="1"/>
    <col min="26" max="26" width="18.5703125" customWidth="1"/>
    <col min="27" max="27" width="30.42578125" customWidth="1"/>
    <col min="28" max="28" width="19.140625" customWidth="1"/>
  </cols>
  <sheetData>
    <row r="1" spans="1:28">
      <c r="A1" s="20" t="s">
        <v>0</v>
      </c>
      <c r="B1" s="20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t="s">
        <v>27</v>
      </c>
    </row>
    <row r="2" spans="1:28">
      <c r="A2" s="25" t="s">
        <v>28</v>
      </c>
      <c r="B2" s="25" t="s">
        <v>29</v>
      </c>
      <c r="C2" s="26">
        <v>444842.95221691398</v>
      </c>
      <c r="D2" s="26">
        <v>7196078.4985242803</v>
      </c>
      <c r="E2" s="27">
        <v>166.60485800000001</v>
      </c>
      <c r="F2" s="28" t="s">
        <v>30</v>
      </c>
      <c r="G2" s="29">
        <v>1.9099999999999999E-2</v>
      </c>
      <c r="H2" s="29">
        <v>4.0000000000000001E-3</v>
      </c>
      <c r="I2" s="29">
        <v>95.8</v>
      </c>
      <c r="J2" s="29">
        <v>8.86</v>
      </c>
      <c r="K2" s="29">
        <v>8.0000000000000002E-3</v>
      </c>
      <c r="L2" s="29">
        <v>383</v>
      </c>
      <c r="M2" s="29">
        <v>5.7</v>
      </c>
      <c r="N2" s="36">
        <v>8.86</v>
      </c>
      <c r="O2" s="29">
        <v>0</v>
      </c>
      <c r="P2" s="29">
        <v>8.31</v>
      </c>
      <c r="Q2" s="29">
        <v>13.37</v>
      </c>
      <c r="R2" s="29">
        <v>13.62</v>
      </c>
      <c r="S2" s="29">
        <v>12</v>
      </c>
      <c r="T2" s="29">
        <v>7.55</v>
      </c>
      <c r="U2" s="36">
        <v>26.74</v>
      </c>
      <c r="V2" s="29">
        <v>0.03</v>
      </c>
      <c r="W2" s="29">
        <v>5.0000000000000001E-4</v>
      </c>
      <c r="X2" s="29">
        <v>0.05</v>
      </c>
      <c r="Y2" s="29">
        <v>0.05</v>
      </c>
      <c r="Z2" s="29">
        <v>0.1</v>
      </c>
      <c r="AA2" s="29">
        <v>0</v>
      </c>
      <c r="AB2" t="s">
        <v>31</v>
      </c>
    </row>
    <row r="3" spans="1:28">
      <c r="A3" s="25" t="s">
        <v>32</v>
      </c>
      <c r="B3" s="25" t="s">
        <v>33</v>
      </c>
      <c r="C3" s="26">
        <v>443455.389531722</v>
      </c>
      <c r="D3" s="26">
        <v>7194145.98973021</v>
      </c>
      <c r="E3" s="27">
        <v>146.58149700000001</v>
      </c>
      <c r="F3" s="28" t="s">
        <v>30</v>
      </c>
      <c r="G3" s="29">
        <v>4.33</v>
      </c>
      <c r="H3" s="29">
        <v>1.2800000000000001E-2</v>
      </c>
      <c r="I3" s="29">
        <v>96.3</v>
      </c>
      <c r="J3" s="29">
        <v>50.73</v>
      </c>
      <c r="K3" s="29">
        <v>8.0000000000000002E-3</v>
      </c>
      <c r="L3" s="29">
        <v>467</v>
      </c>
      <c r="M3" s="29">
        <v>5.97</v>
      </c>
      <c r="N3" s="36">
        <v>50.73</v>
      </c>
      <c r="O3" s="29">
        <v>0</v>
      </c>
      <c r="P3" s="29">
        <v>11.11</v>
      </c>
      <c r="Q3" s="29">
        <v>16.440000000000001</v>
      </c>
      <c r="R3" s="29">
        <v>22.84</v>
      </c>
      <c r="S3" s="29">
        <v>20.2</v>
      </c>
      <c r="T3" s="29">
        <v>12.8</v>
      </c>
      <c r="U3" s="36">
        <v>33.49</v>
      </c>
      <c r="V3" s="29">
        <v>0.03</v>
      </c>
      <c r="W3" s="29">
        <v>5.0000000000000001E-4</v>
      </c>
      <c r="X3" s="29">
        <v>0.05</v>
      </c>
      <c r="Y3" s="29">
        <v>0.05</v>
      </c>
      <c r="Z3" s="29">
        <v>0.1</v>
      </c>
      <c r="AA3" s="29">
        <v>0</v>
      </c>
      <c r="AB3" t="s">
        <v>31</v>
      </c>
    </row>
    <row r="4" spans="1:28">
      <c r="A4" s="25" t="s">
        <v>34</v>
      </c>
      <c r="B4" s="25" t="s">
        <v>35</v>
      </c>
      <c r="C4" s="26">
        <v>444579.14565070701</v>
      </c>
      <c r="D4" s="26">
        <v>7190698.6950686704</v>
      </c>
      <c r="E4" s="27">
        <v>137.082886</v>
      </c>
      <c r="F4" s="28" t="s">
        <v>30</v>
      </c>
      <c r="G4" s="29">
        <v>1.4999999999999999E-2</v>
      </c>
      <c r="H4" s="29">
        <v>2.5000000000000001E-3</v>
      </c>
      <c r="I4" s="29">
        <v>22.9</v>
      </c>
      <c r="J4" s="29">
        <v>10.83</v>
      </c>
      <c r="K4" s="29">
        <v>8.0000000000000002E-3</v>
      </c>
      <c r="L4" s="29">
        <v>103.4</v>
      </c>
      <c r="M4" s="29">
        <v>5.5</v>
      </c>
      <c r="N4" s="36">
        <v>10.83</v>
      </c>
      <c r="O4" s="29">
        <v>0</v>
      </c>
      <c r="P4" s="29">
        <v>4.95</v>
      </c>
      <c r="Q4" s="29">
        <v>4.99</v>
      </c>
      <c r="R4" s="29">
        <v>5.72</v>
      </c>
      <c r="S4" s="29">
        <v>4.12</v>
      </c>
      <c r="T4" s="29">
        <v>4.71</v>
      </c>
      <c r="U4" s="36">
        <v>8.49</v>
      </c>
      <c r="V4" s="29">
        <v>0.03</v>
      </c>
      <c r="W4" s="29">
        <v>5.0000000000000001E-4</v>
      </c>
      <c r="X4" s="29">
        <v>0.05</v>
      </c>
      <c r="Y4" s="29">
        <v>0.05</v>
      </c>
      <c r="Z4" s="29">
        <v>0.1</v>
      </c>
      <c r="AA4" s="29">
        <v>0</v>
      </c>
      <c r="AB4" t="s">
        <v>31</v>
      </c>
    </row>
    <row r="5" spans="1:28">
      <c r="A5" s="25" t="s">
        <v>36</v>
      </c>
      <c r="B5" s="25" t="s">
        <v>37</v>
      </c>
      <c r="C5" s="26">
        <v>443481.385044</v>
      </c>
      <c r="D5" s="26">
        <v>7188683.5256539499</v>
      </c>
      <c r="E5" s="27">
        <v>98.129738000000003</v>
      </c>
      <c r="F5" s="28" t="s">
        <v>30</v>
      </c>
      <c r="G5" s="29">
        <v>2.9499999999999998E-2</v>
      </c>
      <c r="H5" s="29">
        <v>4.0000000000000001E-3</v>
      </c>
      <c r="I5" s="29">
        <v>46.6</v>
      </c>
      <c r="J5" s="29">
        <v>9.85</v>
      </c>
      <c r="K5" s="29">
        <v>8.0000000000000002E-3</v>
      </c>
      <c r="L5" s="29">
        <v>220</v>
      </c>
      <c r="M5" s="29">
        <v>5.21</v>
      </c>
      <c r="N5" s="36">
        <v>9.85</v>
      </c>
      <c r="O5" s="29">
        <v>0</v>
      </c>
      <c r="P5" s="29">
        <v>5.74</v>
      </c>
      <c r="Q5" s="29">
        <v>4.59</v>
      </c>
      <c r="R5" s="29">
        <v>11.22</v>
      </c>
      <c r="S5" s="29">
        <v>13.7</v>
      </c>
      <c r="T5" s="29">
        <v>6.05</v>
      </c>
      <c r="U5" s="36">
        <v>23.49</v>
      </c>
      <c r="V5" s="29">
        <v>0.03</v>
      </c>
      <c r="W5" s="29">
        <v>5.0000000000000001E-4</v>
      </c>
      <c r="X5" s="29">
        <v>0.05</v>
      </c>
      <c r="Y5" s="29">
        <v>0.05</v>
      </c>
      <c r="Z5" s="29">
        <v>0.1</v>
      </c>
      <c r="AA5" s="29">
        <v>0</v>
      </c>
      <c r="AB5" t="s">
        <v>31</v>
      </c>
    </row>
    <row r="6" spans="1:28">
      <c r="A6" s="25" t="s">
        <v>38</v>
      </c>
      <c r="B6" s="25" t="s">
        <v>39</v>
      </c>
      <c r="C6" s="26">
        <v>442183.274792829</v>
      </c>
      <c r="D6" s="26">
        <v>7189534.0206819996</v>
      </c>
      <c r="E6" s="27">
        <v>75.0899509999999</v>
      </c>
      <c r="F6" s="28" t="s">
        <v>30</v>
      </c>
      <c r="G6" s="29">
        <v>1.4999999999999999E-2</v>
      </c>
      <c r="H6" s="29">
        <v>2.5000000000000001E-3</v>
      </c>
      <c r="I6" s="29">
        <v>6.96</v>
      </c>
      <c r="J6" s="29">
        <v>29.6</v>
      </c>
      <c r="K6" s="29">
        <v>8.0000000000000002E-3</v>
      </c>
      <c r="L6" s="29">
        <v>99.6</v>
      </c>
      <c r="M6" s="29">
        <v>5.87</v>
      </c>
      <c r="N6" s="36">
        <v>29.6</v>
      </c>
      <c r="O6" s="29">
        <v>0</v>
      </c>
      <c r="P6" s="29">
        <v>3.87</v>
      </c>
      <c r="Q6" s="29">
        <v>4.12</v>
      </c>
      <c r="R6" s="29">
        <v>6.13</v>
      </c>
      <c r="S6" s="29">
        <v>5.64</v>
      </c>
      <c r="T6" s="29">
        <v>2.75</v>
      </c>
      <c r="U6" s="36">
        <v>4.49</v>
      </c>
      <c r="V6" s="29">
        <v>0.03</v>
      </c>
      <c r="W6" s="29">
        <v>5.0000000000000001E-4</v>
      </c>
      <c r="X6" s="29">
        <v>0.05</v>
      </c>
      <c r="Y6" s="29">
        <v>0.05</v>
      </c>
      <c r="Z6" s="29">
        <v>0.1</v>
      </c>
      <c r="AA6" s="29">
        <v>0</v>
      </c>
      <c r="AB6" t="s">
        <v>31</v>
      </c>
    </row>
    <row r="7" spans="1:28">
      <c r="A7" s="25" t="s">
        <v>40</v>
      </c>
      <c r="B7" s="25" t="s">
        <v>41</v>
      </c>
      <c r="C7" s="26">
        <v>441266.990751907</v>
      </c>
      <c r="D7" s="26">
        <v>7196541.9913700102</v>
      </c>
      <c r="E7" s="27">
        <v>157.17382799999899</v>
      </c>
      <c r="F7" s="28" t="s">
        <v>42</v>
      </c>
      <c r="G7" s="29">
        <v>1.4999999999999999E-2</v>
      </c>
      <c r="H7" s="29">
        <v>2.5000000000000001E-3</v>
      </c>
      <c r="I7" s="29">
        <v>169.5</v>
      </c>
      <c r="J7" s="29">
        <v>21.67</v>
      </c>
      <c r="K7" s="29">
        <v>0.16719999999999999</v>
      </c>
      <c r="L7" s="29">
        <v>287</v>
      </c>
      <c r="M7" s="29">
        <v>6.32</v>
      </c>
      <c r="N7" s="36">
        <v>21.67</v>
      </c>
      <c r="O7" s="29">
        <v>0</v>
      </c>
      <c r="P7" s="29">
        <v>6.06</v>
      </c>
      <c r="Q7" s="29">
        <v>18.77</v>
      </c>
      <c r="R7" s="29">
        <v>30.86</v>
      </c>
      <c r="S7" s="29">
        <v>18.3</v>
      </c>
      <c r="T7" s="29">
        <v>17</v>
      </c>
      <c r="U7" s="36">
        <v>43.99</v>
      </c>
      <c r="V7" s="29">
        <v>0.03</v>
      </c>
      <c r="W7" s="29">
        <v>5.0000000000000001E-4</v>
      </c>
      <c r="X7" s="29">
        <v>0.05</v>
      </c>
      <c r="Y7" s="29">
        <v>0.05</v>
      </c>
      <c r="Z7" s="29">
        <v>0.1</v>
      </c>
      <c r="AA7" s="29">
        <v>0</v>
      </c>
      <c r="AB7" t="s">
        <v>31</v>
      </c>
    </row>
    <row r="8" spans="1:28">
      <c r="A8" s="25" t="s">
        <v>43</v>
      </c>
      <c r="B8" s="25" t="s">
        <v>44</v>
      </c>
      <c r="C8" s="26">
        <v>438326.162187965</v>
      </c>
      <c r="D8" s="26">
        <v>7197708.6692366097</v>
      </c>
      <c r="E8" s="27">
        <v>58.273288999999899</v>
      </c>
      <c r="F8" s="28" t="s">
        <v>42</v>
      </c>
      <c r="G8" s="29">
        <v>1.4999999999999999E-2</v>
      </c>
      <c r="H8" s="29">
        <v>2.5000000000000001E-3</v>
      </c>
      <c r="I8" s="29">
        <v>53.9</v>
      </c>
      <c r="J8" s="29">
        <v>15.27</v>
      </c>
      <c r="K8" s="29">
        <v>0.57899999999999996</v>
      </c>
      <c r="L8" s="29">
        <v>243</v>
      </c>
      <c r="M8" s="29">
        <v>6.33</v>
      </c>
      <c r="N8" s="36">
        <v>15.27</v>
      </c>
      <c r="O8" s="29">
        <v>0</v>
      </c>
      <c r="P8" s="29">
        <v>1.98</v>
      </c>
      <c r="Q8" s="29">
        <v>8.8000000000000007</v>
      </c>
      <c r="R8" s="29">
        <v>13.23</v>
      </c>
      <c r="S8" s="29">
        <v>7.32</v>
      </c>
      <c r="T8" s="29">
        <v>8.98</v>
      </c>
      <c r="U8" s="36">
        <v>16.489999999999998</v>
      </c>
      <c r="V8" s="29">
        <v>0.03</v>
      </c>
      <c r="W8" s="29">
        <v>5.0000000000000001E-4</v>
      </c>
      <c r="X8" s="29">
        <v>0.05</v>
      </c>
      <c r="Y8" s="29">
        <v>0.05</v>
      </c>
      <c r="Z8" s="29">
        <v>0.1</v>
      </c>
      <c r="AA8" s="29">
        <v>0</v>
      </c>
      <c r="AB8" t="s">
        <v>31</v>
      </c>
    </row>
    <row r="9" spans="1:28">
      <c r="A9" s="25" t="s">
        <v>45</v>
      </c>
      <c r="B9" s="25" t="s">
        <v>46</v>
      </c>
      <c r="C9" s="26">
        <v>438999.25979913498</v>
      </c>
      <c r="D9" s="26">
        <v>7195348.8742926596</v>
      </c>
      <c r="E9" s="27">
        <v>150.862503</v>
      </c>
      <c r="F9" s="28" t="s">
        <v>42</v>
      </c>
      <c r="G9" s="29">
        <v>1.4999999999999999E-2</v>
      </c>
      <c r="H9" s="29">
        <v>2.5000000000000001E-3</v>
      </c>
      <c r="I9" s="29">
        <v>63.8</v>
      </c>
      <c r="J9" s="29">
        <v>16.75</v>
      </c>
      <c r="K9" s="29">
        <v>1.0740000000000001</v>
      </c>
      <c r="L9" s="29">
        <v>258</v>
      </c>
      <c r="M9" s="29">
        <v>6.9</v>
      </c>
      <c r="N9" s="36">
        <v>16.75</v>
      </c>
      <c r="O9" s="29">
        <v>0</v>
      </c>
      <c r="P9" s="29">
        <v>3.49</v>
      </c>
      <c r="Q9" s="29">
        <v>10.72</v>
      </c>
      <c r="R9" s="29">
        <v>14.03</v>
      </c>
      <c r="S9" s="29">
        <v>11.6</v>
      </c>
      <c r="T9" s="29">
        <v>8.26</v>
      </c>
      <c r="U9" s="36">
        <v>22.49</v>
      </c>
      <c r="V9" s="29">
        <v>0.03</v>
      </c>
      <c r="W9" s="29">
        <v>5.0000000000000001E-4</v>
      </c>
      <c r="X9" s="29">
        <v>0.05</v>
      </c>
      <c r="Y9" s="29">
        <v>0.05</v>
      </c>
      <c r="Z9" s="29">
        <v>0.1</v>
      </c>
      <c r="AA9" s="29">
        <v>0</v>
      </c>
      <c r="AB9" t="s">
        <v>31</v>
      </c>
    </row>
    <row r="10" spans="1:28">
      <c r="A10" s="25" t="s">
        <v>47</v>
      </c>
      <c r="B10" s="25" t="s">
        <v>48</v>
      </c>
      <c r="C10" s="26">
        <v>439608.02063549799</v>
      </c>
      <c r="D10" s="26">
        <v>7192838.3704788303</v>
      </c>
      <c r="E10" s="27">
        <v>111.97127500000001</v>
      </c>
      <c r="F10" s="28" t="s">
        <v>42</v>
      </c>
      <c r="G10" s="29">
        <v>1.4999999999999999E-2</v>
      </c>
      <c r="H10" s="29">
        <v>2.5000000000000001E-3</v>
      </c>
      <c r="I10" s="29">
        <v>37.200000000000003</v>
      </c>
      <c r="J10" s="29">
        <v>10.83</v>
      </c>
      <c r="K10" s="29">
        <v>0.74399999999999999</v>
      </c>
      <c r="L10" s="29">
        <v>185</v>
      </c>
      <c r="M10" s="29">
        <v>5.99</v>
      </c>
      <c r="N10" s="36">
        <v>10.83</v>
      </c>
      <c r="O10" s="29">
        <v>0</v>
      </c>
      <c r="P10" s="29">
        <v>6.38</v>
      </c>
      <c r="Q10" s="29">
        <v>5.83</v>
      </c>
      <c r="R10" s="29">
        <v>7.62</v>
      </c>
      <c r="S10" s="29">
        <v>20.2</v>
      </c>
      <c r="T10" s="29">
        <v>7.48</v>
      </c>
      <c r="U10" s="36">
        <v>13.99</v>
      </c>
      <c r="V10" s="29">
        <v>0.03</v>
      </c>
      <c r="W10" s="29">
        <v>5.0000000000000001E-4</v>
      </c>
      <c r="X10" s="29">
        <v>0.05</v>
      </c>
      <c r="Y10" s="29">
        <v>0.05</v>
      </c>
      <c r="Z10" s="29">
        <v>0.1</v>
      </c>
      <c r="AA10" s="29">
        <v>0</v>
      </c>
      <c r="AB10" t="s">
        <v>31</v>
      </c>
    </row>
    <row r="11" spans="1:28">
      <c r="A11" s="25" t="s">
        <v>49</v>
      </c>
      <c r="B11" s="25" t="s">
        <v>50</v>
      </c>
      <c r="C11" s="26">
        <v>441965.03850705101</v>
      </c>
      <c r="D11" s="26">
        <v>7193513.6316437302</v>
      </c>
      <c r="E11" s="27">
        <v>145.083754999999</v>
      </c>
      <c r="F11" s="28" t="s">
        <v>42</v>
      </c>
      <c r="G11" s="29">
        <v>1.4999999999999999E-2</v>
      </c>
      <c r="H11" s="29">
        <v>2.5000000000000001E-3</v>
      </c>
      <c r="I11" s="29">
        <v>35.5</v>
      </c>
      <c r="J11" s="29">
        <v>6.89</v>
      </c>
      <c r="K11" s="29">
        <v>0.82599999999999996</v>
      </c>
      <c r="L11" s="29">
        <v>134</v>
      </c>
      <c r="M11" s="29">
        <v>5.82</v>
      </c>
      <c r="N11" s="36">
        <v>6.89</v>
      </c>
      <c r="O11" s="29">
        <v>0</v>
      </c>
      <c r="P11" s="29">
        <v>2.69</v>
      </c>
      <c r="Q11" s="29">
        <v>3.86</v>
      </c>
      <c r="R11" s="29">
        <v>8.17</v>
      </c>
      <c r="S11" s="29">
        <v>4.3099999999999996</v>
      </c>
      <c r="T11" s="29">
        <v>7.2</v>
      </c>
      <c r="U11" s="36">
        <v>10.49</v>
      </c>
      <c r="V11" s="29">
        <v>0.03</v>
      </c>
      <c r="W11" s="29">
        <v>5.0000000000000001E-4</v>
      </c>
      <c r="X11" s="29">
        <v>0.05</v>
      </c>
      <c r="Y11" s="29">
        <v>0.05</v>
      </c>
      <c r="Z11" s="29">
        <v>0.1</v>
      </c>
      <c r="AA11" s="29">
        <v>0</v>
      </c>
      <c r="AB11" t="s">
        <v>31</v>
      </c>
    </row>
    <row r="12" spans="1:28">
      <c r="A12" s="25" t="s">
        <v>51</v>
      </c>
      <c r="B12" s="25" t="s">
        <v>52</v>
      </c>
      <c r="C12" s="26">
        <v>447934.30652502202</v>
      </c>
      <c r="D12" s="26">
        <v>7193156.2352255704</v>
      </c>
      <c r="E12" s="27">
        <v>178.424422999999</v>
      </c>
      <c r="F12" s="28" t="s">
        <v>53</v>
      </c>
      <c r="G12" s="29">
        <v>1.4999999999999999E-2</v>
      </c>
      <c r="H12" s="29">
        <v>2.5000000000000001E-3</v>
      </c>
      <c r="I12" s="29">
        <v>22.7</v>
      </c>
      <c r="J12" s="29">
        <v>9.85</v>
      </c>
      <c r="K12" s="29">
        <v>0.84799999999999998</v>
      </c>
      <c r="L12" s="29">
        <v>157</v>
      </c>
      <c r="M12" s="29">
        <v>5.9</v>
      </c>
      <c r="N12" s="36">
        <v>9.85</v>
      </c>
      <c r="O12" s="29">
        <v>0</v>
      </c>
      <c r="P12" s="29">
        <v>9.61</v>
      </c>
      <c r="Q12" s="29">
        <v>5.33</v>
      </c>
      <c r="R12" s="29">
        <v>8.99</v>
      </c>
      <c r="S12" s="29">
        <v>7.94</v>
      </c>
      <c r="T12" s="29">
        <v>4.96</v>
      </c>
      <c r="U12" s="29">
        <v>15.49</v>
      </c>
      <c r="V12" s="29">
        <v>0.03</v>
      </c>
      <c r="W12" s="29">
        <v>5.0000000000000001E-4</v>
      </c>
      <c r="X12" s="29">
        <v>0.05</v>
      </c>
      <c r="Y12" s="29">
        <v>0.05</v>
      </c>
      <c r="Z12" s="29">
        <v>0.1</v>
      </c>
      <c r="AA12" s="29">
        <v>0</v>
      </c>
      <c r="AB12" t="s">
        <v>31</v>
      </c>
    </row>
    <row r="13" spans="1:28">
      <c r="A13" s="25" t="s">
        <v>54</v>
      </c>
      <c r="B13" s="25" t="s">
        <v>55</v>
      </c>
      <c r="C13" s="26">
        <v>448739.471383881</v>
      </c>
      <c r="D13" s="26">
        <v>7194862.9294934599</v>
      </c>
      <c r="E13" s="27">
        <v>152.34524500000001</v>
      </c>
      <c r="F13" s="28" t="s">
        <v>53</v>
      </c>
      <c r="G13" s="29">
        <v>1.4999999999999999E-2</v>
      </c>
      <c r="H13" s="29">
        <v>2.5000000000000001E-3</v>
      </c>
      <c r="I13" s="29">
        <v>119.8</v>
      </c>
      <c r="J13" s="29">
        <v>16.739999999999998</v>
      </c>
      <c r="K13" s="29">
        <v>0.57899999999999996</v>
      </c>
      <c r="L13" s="29">
        <v>243</v>
      </c>
      <c r="M13" s="29">
        <v>5.6</v>
      </c>
      <c r="N13" s="36">
        <v>16.739999999999998</v>
      </c>
      <c r="O13" s="29">
        <v>0</v>
      </c>
      <c r="P13" s="29">
        <v>4.74</v>
      </c>
      <c r="Q13" s="29">
        <v>10.72</v>
      </c>
      <c r="R13" s="29">
        <v>11.04</v>
      </c>
      <c r="S13" s="29">
        <v>11.5</v>
      </c>
      <c r="T13" s="29">
        <v>4.28</v>
      </c>
      <c r="U13" s="29">
        <v>23.99</v>
      </c>
      <c r="V13" s="29">
        <v>0.03</v>
      </c>
      <c r="W13" s="29">
        <v>5.0000000000000001E-4</v>
      </c>
      <c r="X13" s="29">
        <v>0.05</v>
      </c>
      <c r="Y13" s="29">
        <v>0.05</v>
      </c>
      <c r="Z13" s="29">
        <v>0.1</v>
      </c>
      <c r="AA13" s="29">
        <v>0</v>
      </c>
      <c r="AB13" t="s">
        <v>31</v>
      </c>
    </row>
    <row r="14" spans="1:28">
      <c r="A14" s="25" t="s">
        <v>56</v>
      </c>
      <c r="B14" s="25" t="s">
        <v>57</v>
      </c>
      <c r="C14" s="26">
        <v>448578.13293609099</v>
      </c>
      <c r="D14" s="26">
        <v>7201047.3634020304</v>
      </c>
      <c r="E14" s="27">
        <v>129.975966999999</v>
      </c>
      <c r="F14" s="28" t="s">
        <v>53</v>
      </c>
      <c r="G14" s="29">
        <v>8.8400000000000006E-2</v>
      </c>
      <c r="H14" s="29">
        <v>4.7999999999999996E-3</v>
      </c>
      <c r="I14" s="29">
        <v>68.099999999999994</v>
      </c>
      <c r="J14" s="29">
        <v>10.784000000000001</v>
      </c>
      <c r="K14" s="29">
        <v>0.66100000000000003</v>
      </c>
      <c r="L14" s="29">
        <v>327</v>
      </c>
      <c r="M14" s="29">
        <v>5.56</v>
      </c>
      <c r="N14" s="36">
        <v>10.784000000000001</v>
      </c>
      <c r="O14" s="29">
        <v>0</v>
      </c>
      <c r="P14" s="29">
        <v>5.7</v>
      </c>
      <c r="Q14" s="29">
        <v>15.52</v>
      </c>
      <c r="R14" s="29">
        <v>14.83</v>
      </c>
      <c r="S14" s="29">
        <v>19.8</v>
      </c>
      <c r="T14" s="29">
        <v>2.4700000000000002</v>
      </c>
      <c r="U14" s="29">
        <v>46.48</v>
      </c>
      <c r="V14" s="29">
        <v>0.03</v>
      </c>
      <c r="W14" s="29">
        <v>5.0000000000000001E-4</v>
      </c>
      <c r="X14" s="29">
        <v>0.05</v>
      </c>
      <c r="Y14" s="29">
        <v>0.05</v>
      </c>
      <c r="Z14" s="29">
        <v>0.1</v>
      </c>
      <c r="AA14" s="29">
        <v>0</v>
      </c>
      <c r="AB14" t="s">
        <v>31</v>
      </c>
    </row>
    <row r="15" spans="1:28">
      <c r="A15" s="25" t="s">
        <v>58</v>
      </c>
      <c r="B15" s="25" t="s">
        <v>59</v>
      </c>
      <c r="C15" s="26">
        <v>447233.365937169</v>
      </c>
      <c r="D15" s="26">
        <v>7201180.9255092703</v>
      </c>
      <c r="E15" s="27">
        <v>135.02088900000001</v>
      </c>
      <c r="F15" s="28" t="s">
        <v>53</v>
      </c>
      <c r="G15" s="29">
        <v>2.7099999999999999E-2</v>
      </c>
      <c r="H15" s="29">
        <v>2.5000000000000001E-3</v>
      </c>
      <c r="I15" s="29">
        <v>96.4</v>
      </c>
      <c r="J15" s="29">
        <v>18.52</v>
      </c>
      <c r="K15" s="29">
        <v>8.0000000000000002E-3</v>
      </c>
      <c r="L15" s="29">
        <v>372</v>
      </c>
      <c r="M15" s="29">
        <v>5.68</v>
      </c>
      <c r="N15" s="36">
        <v>18.52</v>
      </c>
      <c r="O15" s="29">
        <v>0</v>
      </c>
      <c r="P15" s="29">
        <v>11.69</v>
      </c>
      <c r="Q15" s="29">
        <v>18.170000000000002</v>
      </c>
      <c r="R15" s="29">
        <v>20.04</v>
      </c>
      <c r="S15" s="29">
        <v>17.600000000000001</v>
      </c>
      <c r="T15" s="29">
        <v>2.34</v>
      </c>
      <c r="U15" s="29">
        <v>41.49</v>
      </c>
      <c r="V15" s="29">
        <v>0.03</v>
      </c>
      <c r="W15" s="29">
        <v>5.0000000000000001E-4</v>
      </c>
      <c r="X15" s="29">
        <v>0.05</v>
      </c>
      <c r="Y15" s="29">
        <v>0.05</v>
      </c>
      <c r="Z15" s="29">
        <v>0.1</v>
      </c>
      <c r="AA15" s="29">
        <v>0</v>
      </c>
      <c r="AB15" t="s">
        <v>31</v>
      </c>
    </row>
    <row r="16" spans="1:28">
      <c r="A16" s="25" t="s">
        <v>60</v>
      </c>
      <c r="B16" s="25" t="s">
        <v>61</v>
      </c>
      <c r="C16" s="26">
        <v>446833.08093481697</v>
      </c>
      <c r="D16" s="26">
        <v>7192118.1779629998</v>
      </c>
      <c r="E16" s="27">
        <v>141.607101</v>
      </c>
      <c r="F16" s="28" t="s">
        <v>62</v>
      </c>
      <c r="G16" s="29">
        <v>1.4999999999999999E-2</v>
      </c>
      <c r="H16" s="29">
        <v>2.5000000000000001E-3</v>
      </c>
      <c r="I16" s="29">
        <v>30.3</v>
      </c>
      <c r="J16" s="29">
        <v>9.85</v>
      </c>
      <c r="K16" s="29">
        <v>0.126</v>
      </c>
      <c r="L16" s="29">
        <v>119</v>
      </c>
      <c r="M16" s="29">
        <v>5.65</v>
      </c>
      <c r="N16" s="36">
        <v>9.85</v>
      </c>
      <c r="O16" s="29">
        <v>0</v>
      </c>
      <c r="P16" s="29">
        <v>3.35</v>
      </c>
      <c r="Q16" s="29">
        <v>2.6</v>
      </c>
      <c r="R16" s="29">
        <v>6.41</v>
      </c>
      <c r="S16" s="29">
        <v>4.09</v>
      </c>
      <c r="T16" s="29">
        <v>4.1399999999999997</v>
      </c>
      <c r="U16" s="29">
        <v>4.49</v>
      </c>
      <c r="V16" s="29">
        <v>0.03</v>
      </c>
      <c r="W16" s="29">
        <v>5.0000000000000001E-4</v>
      </c>
      <c r="X16" s="29">
        <v>0.05</v>
      </c>
      <c r="Y16" s="29">
        <v>0.05</v>
      </c>
      <c r="Z16" s="29">
        <v>0.1</v>
      </c>
      <c r="AA16" s="29">
        <v>0</v>
      </c>
      <c r="AB16" t="s">
        <v>31</v>
      </c>
    </row>
    <row r="17" spans="1:28">
      <c r="A17" s="25" t="s">
        <v>63</v>
      </c>
      <c r="B17" s="25" t="s">
        <v>64</v>
      </c>
      <c r="C17" s="26">
        <v>444578.39937861101</v>
      </c>
      <c r="D17" s="26">
        <v>7193588.21788071</v>
      </c>
      <c r="E17" s="27">
        <v>136.560394</v>
      </c>
      <c r="F17" s="28" t="s">
        <v>62</v>
      </c>
      <c r="G17" s="29">
        <v>9.0800000000000006E-2</v>
      </c>
      <c r="H17" s="29">
        <v>4.1000000000000003E-3</v>
      </c>
      <c r="I17" s="29">
        <v>163.9</v>
      </c>
      <c r="J17" s="29">
        <v>4.93</v>
      </c>
      <c r="K17" s="29">
        <v>8.5000000000000006E-2</v>
      </c>
      <c r="L17" s="29">
        <v>293</v>
      </c>
      <c r="M17" s="29">
        <v>5.12</v>
      </c>
      <c r="N17" s="36">
        <v>4.93</v>
      </c>
      <c r="O17" s="29">
        <v>0</v>
      </c>
      <c r="P17" s="29">
        <v>1.91</v>
      </c>
      <c r="Q17" s="29">
        <v>12.43</v>
      </c>
      <c r="R17" s="29">
        <v>12.26</v>
      </c>
      <c r="S17" s="29">
        <v>15.1</v>
      </c>
      <c r="T17" s="29">
        <v>4.92</v>
      </c>
      <c r="U17" s="29">
        <v>22.49</v>
      </c>
      <c r="V17" s="29">
        <v>0.03</v>
      </c>
      <c r="W17" s="29">
        <v>5.0000000000000001E-4</v>
      </c>
      <c r="X17" s="29">
        <v>0.05</v>
      </c>
      <c r="Y17" s="29">
        <v>0.05</v>
      </c>
      <c r="Z17" s="29">
        <v>0.1</v>
      </c>
      <c r="AA17" s="29">
        <v>0</v>
      </c>
      <c r="AB17" t="s">
        <v>31</v>
      </c>
    </row>
    <row r="18" spans="1:28">
      <c r="A18" s="25" t="s">
        <v>65</v>
      </c>
      <c r="B18" s="25" t="s">
        <v>66</v>
      </c>
      <c r="C18" s="26">
        <v>452318.388472786</v>
      </c>
      <c r="D18" s="26">
        <v>7193154.6645636298</v>
      </c>
      <c r="E18" s="27">
        <v>155.096969999999</v>
      </c>
      <c r="F18" s="28" t="s">
        <v>62</v>
      </c>
      <c r="G18" s="29">
        <v>1.4999999999999999E-2</v>
      </c>
      <c r="H18" s="29">
        <v>2.5000000000000001E-3</v>
      </c>
      <c r="I18" s="29">
        <v>19.399999999999999</v>
      </c>
      <c r="J18" s="29">
        <v>14.78</v>
      </c>
      <c r="K18" s="29">
        <v>8.5000000000000006E-2</v>
      </c>
      <c r="L18" s="29">
        <v>114</v>
      </c>
      <c r="M18" s="29">
        <v>5.48</v>
      </c>
      <c r="N18" s="36">
        <v>14.78</v>
      </c>
      <c r="O18" s="29">
        <v>0</v>
      </c>
      <c r="P18" s="29">
        <v>4.28</v>
      </c>
      <c r="Q18" s="29">
        <v>2.66</v>
      </c>
      <c r="R18" s="29">
        <v>4.49</v>
      </c>
      <c r="S18" s="29">
        <v>3.72</v>
      </c>
      <c r="T18" s="29">
        <v>1.79</v>
      </c>
      <c r="U18" s="29">
        <v>4.49</v>
      </c>
      <c r="V18" s="29">
        <v>0.03</v>
      </c>
      <c r="W18" s="29">
        <v>5.0000000000000001E-4</v>
      </c>
      <c r="X18" s="29">
        <v>0.05</v>
      </c>
      <c r="Y18" s="29">
        <v>0.05</v>
      </c>
      <c r="Z18" s="29">
        <v>0.1</v>
      </c>
      <c r="AA18" s="29">
        <v>0</v>
      </c>
      <c r="AB18" t="s">
        <v>31</v>
      </c>
    </row>
    <row r="19" spans="1:28">
      <c r="A19" s="25" t="s">
        <v>67</v>
      </c>
      <c r="B19" s="25" t="s">
        <v>68</v>
      </c>
      <c r="C19" s="26">
        <v>458724.52829905902</v>
      </c>
      <c r="D19" s="26">
        <v>7193743.93262148</v>
      </c>
      <c r="E19" s="27">
        <v>127.555969</v>
      </c>
      <c r="F19" s="28" t="s">
        <v>69</v>
      </c>
      <c r="G19" s="29">
        <v>1.1900000000000001E-2</v>
      </c>
      <c r="H19" s="29">
        <v>4.1000000000000003E-3</v>
      </c>
      <c r="I19" s="29">
        <v>12.85</v>
      </c>
      <c r="J19" s="29">
        <v>43.83</v>
      </c>
      <c r="K19" s="29">
        <v>0.90900000000000003</v>
      </c>
      <c r="L19" s="29">
        <v>139</v>
      </c>
      <c r="M19" s="29">
        <v>5.65</v>
      </c>
      <c r="N19" s="36">
        <v>43.83</v>
      </c>
      <c r="O19" s="29">
        <v>0</v>
      </c>
      <c r="P19" s="29">
        <v>5.47</v>
      </c>
      <c r="Q19" s="29">
        <v>5.07</v>
      </c>
      <c r="R19" s="29">
        <v>11.45</v>
      </c>
      <c r="S19" s="29">
        <v>5.92</v>
      </c>
      <c r="T19" s="29">
        <v>7.58</v>
      </c>
      <c r="U19" s="29">
        <v>5.25</v>
      </c>
      <c r="V19" s="29">
        <v>0.03</v>
      </c>
      <c r="W19" s="29">
        <v>5.0000000000000001E-4</v>
      </c>
      <c r="X19" s="29">
        <v>0.05</v>
      </c>
      <c r="Y19" s="29">
        <v>0.05</v>
      </c>
      <c r="Z19" s="29">
        <v>0.1</v>
      </c>
      <c r="AA19" s="29">
        <v>0</v>
      </c>
      <c r="AB19" t="s">
        <v>31</v>
      </c>
    </row>
    <row r="20" spans="1:28">
      <c r="A20" s="25" t="s">
        <v>70</v>
      </c>
      <c r="B20" s="25" t="s">
        <v>71</v>
      </c>
      <c r="C20" s="26">
        <v>458687.18312418403</v>
      </c>
      <c r="D20" s="26">
        <v>7192178.7703362498</v>
      </c>
      <c r="E20" s="27">
        <v>114.702636999999</v>
      </c>
      <c r="F20" s="28" t="s">
        <v>69</v>
      </c>
      <c r="G20" s="29">
        <v>1.4999999999999999E-2</v>
      </c>
      <c r="H20" s="29">
        <v>2.5000000000000001E-3</v>
      </c>
      <c r="I20" s="29">
        <v>6.68</v>
      </c>
      <c r="J20" s="29">
        <v>38.42</v>
      </c>
      <c r="K20" s="29">
        <v>0.28999999999999998</v>
      </c>
      <c r="L20" s="29">
        <v>125</v>
      </c>
      <c r="M20" s="29">
        <v>6.11</v>
      </c>
      <c r="N20" s="36">
        <v>38.42</v>
      </c>
      <c r="O20" s="29">
        <v>0</v>
      </c>
      <c r="P20" s="29">
        <v>1.87</v>
      </c>
      <c r="Q20" s="29">
        <v>7.06</v>
      </c>
      <c r="R20" s="29">
        <v>8.99</v>
      </c>
      <c r="S20" s="29">
        <v>5.57</v>
      </c>
      <c r="T20" s="29">
        <v>1.58</v>
      </c>
      <c r="U20" s="29">
        <v>5.99</v>
      </c>
      <c r="V20" s="29">
        <v>0.03</v>
      </c>
      <c r="W20" s="29">
        <v>5.0000000000000001E-4</v>
      </c>
      <c r="X20" s="29">
        <v>0.05</v>
      </c>
      <c r="Y20" s="29">
        <v>0.05</v>
      </c>
      <c r="Z20" s="29">
        <v>0.1</v>
      </c>
      <c r="AA20" s="29">
        <v>0</v>
      </c>
      <c r="AB20" t="s">
        <v>31</v>
      </c>
    </row>
    <row r="21" spans="1:28">
      <c r="A21" s="25" t="s">
        <v>72</v>
      </c>
      <c r="B21" s="25" t="s">
        <v>73</v>
      </c>
      <c r="C21" s="26">
        <v>454177.718853325</v>
      </c>
      <c r="D21" s="26">
        <v>7195903.4330917802</v>
      </c>
      <c r="E21" s="27">
        <v>129.83467099999899</v>
      </c>
      <c r="F21" s="28" t="s">
        <v>69</v>
      </c>
      <c r="G21" s="29">
        <v>1.4999999999999999E-2</v>
      </c>
      <c r="H21" s="29">
        <v>2.5000000000000001E-3</v>
      </c>
      <c r="I21" s="29">
        <v>54.63</v>
      </c>
      <c r="J21" s="29">
        <v>9.85</v>
      </c>
      <c r="K21" s="29">
        <v>0.33200000000000002</v>
      </c>
      <c r="L21" s="29">
        <v>278</v>
      </c>
      <c r="M21" s="29">
        <v>5.27</v>
      </c>
      <c r="N21" s="36">
        <v>9.85</v>
      </c>
      <c r="O21" s="29">
        <v>0</v>
      </c>
      <c r="P21" s="29">
        <v>5.73</v>
      </c>
      <c r="Q21" s="29">
        <v>9.7100000000000009</v>
      </c>
      <c r="R21" s="29">
        <v>14.72</v>
      </c>
      <c r="S21" s="29">
        <v>17.2</v>
      </c>
      <c r="T21" s="29">
        <v>3.01</v>
      </c>
      <c r="U21" s="29">
        <v>36.24</v>
      </c>
      <c r="V21" s="29">
        <v>0.03</v>
      </c>
      <c r="W21" s="29">
        <v>5.0000000000000001E-4</v>
      </c>
      <c r="X21" s="29">
        <v>0.05</v>
      </c>
      <c r="Y21" s="29">
        <v>0.05</v>
      </c>
      <c r="Z21" s="29">
        <v>0.1</v>
      </c>
      <c r="AA21" s="29">
        <v>0</v>
      </c>
      <c r="AB21" t="s">
        <v>31</v>
      </c>
    </row>
    <row r="22" spans="1:28">
      <c r="A22" s="25" t="s">
        <v>74</v>
      </c>
      <c r="B22" s="25" t="s">
        <v>75</v>
      </c>
      <c r="C22" s="26">
        <v>449853.37796535401</v>
      </c>
      <c r="D22" s="26">
        <v>7189176.3807143401</v>
      </c>
      <c r="E22" s="27">
        <v>158.978194999999</v>
      </c>
      <c r="F22" s="28" t="s">
        <v>69</v>
      </c>
      <c r="G22" s="29">
        <v>1.4999999999999999E-2</v>
      </c>
      <c r="H22" s="29">
        <v>2.5000000000000001E-3</v>
      </c>
      <c r="I22" s="29">
        <v>11.26</v>
      </c>
      <c r="J22" s="29">
        <v>11.82</v>
      </c>
      <c r="K22" s="29">
        <v>0.373</v>
      </c>
      <c r="L22" s="29">
        <v>103</v>
      </c>
      <c r="M22" s="29">
        <v>5.21</v>
      </c>
      <c r="N22" s="36">
        <v>11.82</v>
      </c>
      <c r="O22" s="29">
        <v>0</v>
      </c>
      <c r="P22" s="29">
        <v>5.37</v>
      </c>
      <c r="Q22" s="29">
        <v>4.1500000000000004</v>
      </c>
      <c r="R22" s="29">
        <v>2.4500000000000002</v>
      </c>
      <c r="S22" s="29">
        <v>2.96</v>
      </c>
      <c r="T22" s="29">
        <v>5.36</v>
      </c>
      <c r="U22" s="29">
        <v>3.75</v>
      </c>
      <c r="V22" s="29">
        <v>0.03</v>
      </c>
      <c r="W22" s="29">
        <v>5.0000000000000001E-4</v>
      </c>
      <c r="X22" s="29">
        <v>0.05</v>
      </c>
      <c r="Y22" s="29">
        <v>0.05</v>
      </c>
      <c r="Z22" s="29">
        <v>0.1</v>
      </c>
      <c r="AA22" s="29">
        <v>0</v>
      </c>
      <c r="AB22" t="s">
        <v>31</v>
      </c>
    </row>
    <row r="23" spans="1:28">
      <c r="A23" s="25" t="s">
        <v>76</v>
      </c>
      <c r="B23" s="25" t="s">
        <v>77</v>
      </c>
      <c r="C23" s="26">
        <v>452191.18177647103</v>
      </c>
      <c r="D23" s="26">
        <v>7196821.18461427</v>
      </c>
      <c r="E23" s="27">
        <v>110.26913500000001</v>
      </c>
      <c r="F23" s="28" t="s">
        <v>69</v>
      </c>
      <c r="G23" s="29">
        <v>0.47499999999999998</v>
      </c>
      <c r="H23" s="29">
        <v>5.4999999999999997E-3</v>
      </c>
      <c r="I23" s="29">
        <v>56.94</v>
      </c>
      <c r="J23" s="29">
        <v>14.77</v>
      </c>
      <c r="K23" s="29">
        <v>0.45500000000000002</v>
      </c>
      <c r="L23" s="29">
        <v>232</v>
      </c>
      <c r="M23" s="29">
        <v>5.42</v>
      </c>
      <c r="N23" s="36">
        <v>14.77</v>
      </c>
      <c r="O23" s="29">
        <v>0</v>
      </c>
      <c r="P23" s="29">
        <v>1.86</v>
      </c>
      <c r="Q23" s="29">
        <v>9.75</v>
      </c>
      <c r="R23" s="29">
        <v>8.99</v>
      </c>
      <c r="S23" s="29">
        <v>13.9</v>
      </c>
      <c r="T23" s="29">
        <v>1.94</v>
      </c>
      <c r="U23" s="29">
        <v>21.24</v>
      </c>
      <c r="V23" s="29">
        <v>0.03</v>
      </c>
      <c r="W23" s="29">
        <v>5.0000000000000001E-4</v>
      </c>
      <c r="X23" s="29">
        <v>0.05</v>
      </c>
      <c r="Y23" s="29">
        <v>0.05</v>
      </c>
      <c r="Z23" s="29">
        <v>0.1</v>
      </c>
      <c r="AA23" s="29">
        <v>0</v>
      </c>
      <c r="AB23" t="s">
        <v>31</v>
      </c>
    </row>
    <row r="24" spans="1:28">
      <c r="A24" s="25" t="s">
        <v>78</v>
      </c>
      <c r="B24" s="25" t="s">
        <v>79</v>
      </c>
      <c r="C24" s="26">
        <v>438354.94046280999</v>
      </c>
      <c r="D24" s="26">
        <v>7195401.3091128003</v>
      </c>
      <c r="E24" s="27">
        <v>127.930053999999</v>
      </c>
      <c r="F24" s="28" t="s">
        <v>80</v>
      </c>
      <c r="G24" s="29">
        <v>3.5000000000000003E-2</v>
      </c>
      <c r="H24" s="29">
        <v>2.5000000000000001E-3</v>
      </c>
      <c r="I24" s="29">
        <v>130.30000000000001</v>
      </c>
      <c r="J24" s="29">
        <v>25.61</v>
      </c>
      <c r="K24" s="29">
        <v>0.41399999999999998</v>
      </c>
      <c r="L24" s="29">
        <v>462</v>
      </c>
      <c r="M24" s="29">
        <v>5.9</v>
      </c>
      <c r="N24" s="36">
        <v>25.61</v>
      </c>
      <c r="O24" s="29">
        <v>0</v>
      </c>
      <c r="P24" s="29">
        <v>6.92</v>
      </c>
      <c r="Q24" s="29">
        <v>17.77</v>
      </c>
      <c r="R24" s="29">
        <v>26.16</v>
      </c>
      <c r="S24" s="29">
        <v>23.5</v>
      </c>
      <c r="T24" s="29">
        <v>14.1</v>
      </c>
      <c r="U24" s="29">
        <v>32.979999999999997</v>
      </c>
      <c r="V24" s="29">
        <v>0.03</v>
      </c>
      <c r="W24" s="29">
        <v>5.0000000000000001E-4</v>
      </c>
      <c r="X24" s="29">
        <v>0.05</v>
      </c>
      <c r="Y24" s="29">
        <v>0.05</v>
      </c>
      <c r="Z24" s="29">
        <v>0.1</v>
      </c>
      <c r="AA24" s="29">
        <v>0</v>
      </c>
      <c r="AB24" t="s">
        <v>31</v>
      </c>
    </row>
    <row r="25" spans="1:28">
      <c r="A25" s="25" t="s">
        <v>81</v>
      </c>
      <c r="B25" s="25" t="s">
        <v>82</v>
      </c>
      <c r="C25" s="26">
        <v>438654.577638535</v>
      </c>
      <c r="D25" s="26">
        <v>7194323.0709140003</v>
      </c>
      <c r="E25" s="27">
        <v>127.044701</v>
      </c>
      <c r="F25" s="28" t="s">
        <v>80</v>
      </c>
      <c r="G25" s="29">
        <v>1.4999999999999999E-2</v>
      </c>
      <c r="H25" s="29">
        <v>2.5000000000000001E-3</v>
      </c>
      <c r="I25" s="29">
        <v>80.599999999999994</v>
      </c>
      <c r="J25" s="29">
        <v>13.79</v>
      </c>
      <c r="K25" s="29">
        <v>0.74399999999999999</v>
      </c>
      <c r="L25" s="29">
        <v>316</v>
      </c>
      <c r="M25" s="29">
        <v>5.78</v>
      </c>
      <c r="N25" s="36">
        <v>13.79</v>
      </c>
      <c r="O25" s="29">
        <v>0</v>
      </c>
      <c r="P25" s="29">
        <v>3.31</v>
      </c>
      <c r="Q25" s="29">
        <v>3.74</v>
      </c>
      <c r="R25" s="29">
        <v>19.62</v>
      </c>
      <c r="S25" s="29">
        <v>17.3</v>
      </c>
      <c r="T25" s="29">
        <v>5.55</v>
      </c>
      <c r="U25" s="29">
        <v>26.99</v>
      </c>
      <c r="V25" s="29">
        <v>0.03</v>
      </c>
      <c r="W25" s="29">
        <v>5.0000000000000001E-4</v>
      </c>
      <c r="X25" s="29">
        <v>0.05</v>
      </c>
      <c r="Y25" s="29">
        <v>0.05</v>
      </c>
      <c r="Z25" s="29">
        <v>0.1</v>
      </c>
      <c r="AA25" s="29">
        <v>0</v>
      </c>
      <c r="AB25" t="s">
        <v>31</v>
      </c>
    </row>
    <row r="26" spans="1:28">
      <c r="A26" s="30">
        <v>25</v>
      </c>
      <c r="B26" s="25" t="s">
        <v>83</v>
      </c>
      <c r="C26" s="26">
        <v>442580.39644952299</v>
      </c>
      <c r="D26" s="26">
        <v>7198741.7296812702</v>
      </c>
      <c r="E26" s="27">
        <v>135.741759999999</v>
      </c>
      <c r="F26" s="28" t="s">
        <v>84</v>
      </c>
      <c r="G26" s="31">
        <v>1.4999999999999999E-2</v>
      </c>
      <c r="H26" s="31">
        <v>2.5000000000000001E-3</v>
      </c>
      <c r="I26" s="31">
        <v>30.1</v>
      </c>
      <c r="J26" s="31">
        <v>42.84</v>
      </c>
      <c r="K26" s="31">
        <v>0.82599999999999996</v>
      </c>
      <c r="L26" s="31">
        <v>265</v>
      </c>
      <c r="M26" s="31">
        <v>5.48</v>
      </c>
      <c r="N26" s="31">
        <f t="shared" ref="N26:N44" si="0">J26</f>
        <v>42.84</v>
      </c>
      <c r="O26" s="31">
        <v>0</v>
      </c>
      <c r="P26" s="31">
        <v>8.75</v>
      </c>
      <c r="Q26" s="31">
        <v>7.74</v>
      </c>
      <c r="R26" s="31">
        <v>15.54</v>
      </c>
      <c r="S26" s="31">
        <v>15.6</v>
      </c>
      <c r="T26" s="31">
        <v>4.6399999999999997</v>
      </c>
      <c r="U26" s="31">
        <v>20.99</v>
      </c>
      <c r="V26" s="31">
        <v>0.03</v>
      </c>
      <c r="W26" s="31">
        <v>5.0000000000000001E-4</v>
      </c>
      <c r="X26" s="31">
        <v>0.05</v>
      </c>
      <c r="Y26" s="31">
        <v>0.05</v>
      </c>
      <c r="Z26" s="31">
        <v>0.1</v>
      </c>
      <c r="AA26" s="39">
        <v>0</v>
      </c>
      <c r="AB26" t="s">
        <v>31</v>
      </c>
    </row>
    <row r="27" spans="1:28">
      <c r="A27" s="30">
        <v>26</v>
      </c>
      <c r="B27" s="25" t="s">
        <v>85</v>
      </c>
      <c r="C27" s="26">
        <v>455088.72847333603</v>
      </c>
      <c r="D27" s="26">
        <v>7208741.5110524697</v>
      </c>
      <c r="E27" s="27">
        <v>109.484611999999</v>
      </c>
      <c r="F27" s="28" t="s">
        <v>86</v>
      </c>
      <c r="G27" s="32">
        <v>1.4999999999999999E-2</v>
      </c>
      <c r="H27" s="32">
        <v>2.5000000000000001E-3</v>
      </c>
      <c r="I27" s="32">
        <v>8.69</v>
      </c>
      <c r="J27" s="32">
        <v>97.52</v>
      </c>
      <c r="K27" s="32">
        <v>0.16700000000000001</v>
      </c>
      <c r="L27" s="32">
        <v>229</v>
      </c>
      <c r="M27" s="32">
        <v>6.75</v>
      </c>
      <c r="N27" s="32">
        <f t="shared" si="0"/>
        <v>97.52</v>
      </c>
      <c r="O27" s="32">
        <v>0</v>
      </c>
      <c r="P27" s="32">
        <v>0.39900000000000002</v>
      </c>
      <c r="Q27" s="32">
        <v>14.61</v>
      </c>
      <c r="R27" s="32">
        <v>15.13</v>
      </c>
      <c r="S27" s="32">
        <v>6.99</v>
      </c>
      <c r="T27" s="32">
        <v>2.48</v>
      </c>
      <c r="U27" s="32">
        <v>2.99</v>
      </c>
      <c r="V27" s="32">
        <v>0.03</v>
      </c>
      <c r="W27" s="32">
        <v>5.0000000000000001E-4</v>
      </c>
      <c r="X27" s="32">
        <v>0.05</v>
      </c>
      <c r="Y27" s="32">
        <v>0.05</v>
      </c>
      <c r="Z27" s="32">
        <v>0.1</v>
      </c>
      <c r="AA27" s="40">
        <v>0</v>
      </c>
      <c r="AB27" t="s">
        <v>31</v>
      </c>
    </row>
    <row r="28" spans="1:28">
      <c r="A28" s="30">
        <v>27</v>
      </c>
      <c r="B28" s="25" t="s">
        <v>87</v>
      </c>
      <c r="C28" s="26">
        <v>452473.63908794499</v>
      </c>
      <c r="D28" s="26">
        <v>7209209.4092132002</v>
      </c>
      <c r="E28" s="27">
        <v>105.647666999999</v>
      </c>
      <c r="F28" s="28" t="s">
        <v>86</v>
      </c>
      <c r="G28" s="29">
        <v>1.4999999999999999E-2</v>
      </c>
      <c r="H28" s="32">
        <v>2.5000000000000001E-3</v>
      </c>
      <c r="I28" s="37">
        <v>11.3</v>
      </c>
      <c r="J28" s="29">
        <v>65.010000000000005</v>
      </c>
      <c r="K28" s="29">
        <v>0.57899999999999996</v>
      </c>
      <c r="L28" s="29">
        <v>264</v>
      </c>
      <c r="M28" s="29">
        <v>7.03</v>
      </c>
      <c r="N28" s="29">
        <f t="shared" si="0"/>
        <v>65.010000000000005</v>
      </c>
      <c r="O28" s="29">
        <v>0</v>
      </c>
      <c r="P28" s="29">
        <v>14.57</v>
      </c>
      <c r="Q28" s="29">
        <v>5.79</v>
      </c>
      <c r="R28" s="29">
        <v>13.08</v>
      </c>
      <c r="S28" s="29">
        <v>23.7</v>
      </c>
      <c r="T28" s="29">
        <v>4.96</v>
      </c>
      <c r="U28" s="29">
        <v>20.49</v>
      </c>
      <c r="V28" s="29">
        <v>0.03</v>
      </c>
      <c r="W28" s="29">
        <v>5.0000000000000001E-4</v>
      </c>
      <c r="X28" s="29">
        <v>0.05</v>
      </c>
      <c r="Y28" s="29">
        <v>0.05</v>
      </c>
      <c r="Z28" s="29">
        <v>0.1</v>
      </c>
      <c r="AA28" s="41">
        <v>0</v>
      </c>
      <c r="AB28" t="s">
        <v>31</v>
      </c>
    </row>
    <row r="29" spans="1:28">
      <c r="A29" s="30">
        <v>28</v>
      </c>
      <c r="B29" s="25" t="s">
        <v>88</v>
      </c>
      <c r="C29" s="26">
        <v>452022.542680985</v>
      </c>
      <c r="D29" s="26">
        <v>7205081.7880296297</v>
      </c>
      <c r="E29" s="27">
        <v>115.323166</v>
      </c>
      <c r="F29" s="28" t="s">
        <v>86</v>
      </c>
      <c r="G29" s="29">
        <v>1.4999999999999999E-2</v>
      </c>
      <c r="H29" s="32">
        <v>2.5000000000000001E-3</v>
      </c>
      <c r="I29" s="37">
        <v>1.62</v>
      </c>
      <c r="J29" s="29">
        <v>29.55</v>
      </c>
      <c r="K29" s="29">
        <v>2.39</v>
      </c>
      <c r="L29" s="29">
        <v>130</v>
      </c>
      <c r="M29" s="29">
        <v>7.09</v>
      </c>
      <c r="N29" s="29">
        <f t="shared" si="0"/>
        <v>29.55</v>
      </c>
      <c r="O29" s="29">
        <v>0</v>
      </c>
      <c r="P29" s="29">
        <v>11.29</v>
      </c>
      <c r="Q29" s="29">
        <v>3.83</v>
      </c>
      <c r="R29" s="29">
        <v>13.89</v>
      </c>
      <c r="S29" s="29">
        <v>4.55</v>
      </c>
      <c r="T29" s="29">
        <v>2.29</v>
      </c>
      <c r="U29" s="29">
        <v>10.34</v>
      </c>
      <c r="V29" s="29">
        <v>0.03</v>
      </c>
      <c r="W29" s="29">
        <v>5.0000000000000001E-4</v>
      </c>
      <c r="X29" s="29">
        <v>0.05</v>
      </c>
      <c r="Y29" s="29">
        <v>0.05</v>
      </c>
      <c r="Z29" s="29">
        <v>0.1</v>
      </c>
      <c r="AA29" s="41">
        <v>0</v>
      </c>
      <c r="AB29" t="s">
        <v>31</v>
      </c>
    </row>
    <row r="30" spans="1:28">
      <c r="A30" s="30">
        <v>29</v>
      </c>
      <c r="B30" s="25" t="s">
        <v>89</v>
      </c>
      <c r="C30" s="26">
        <v>451785.14197290799</v>
      </c>
      <c r="D30" s="26">
        <v>7202563.0128154801</v>
      </c>
      <c r="E30" s="27">
        <v>130.903899999999</v>
      </c>
      <c r="F30" s="28" t="s">
        <v>86</v>
      </c>
      <c r="G30" s="29">
        <v>1.4999999999999999E-2</v>
      </c>
      <c r="H30" s="32">
        <v>2.5000000000000001E-3</v>
      </c>
      <c r="I30" s="38">
        <v>13</v>
      </c>
      <c r="J30" s="33">
        <v>15.76</v>
      </c>
      <c r="K30" s="33">
        <v>0.497</v>
      </c>
      <c r="L30" s="33">
        <v>73.2</v>
      </c>
      <c r="M30" s="33">
        <v>5.95</v>
      </c>
      <c r="N30" s="33">
        <f t="shared" si="0"/>
        <v>15.76</v>
      </c>
      <c r="O30" s="33">
        <v>0</v>
      </c>
      <c r="P30" s="33">
        <v>2.42</v>
      </c>
      <c r="Q30" s="33">
        <v>2.65</v>
      </c>
      <c r="R30" s="33">
        <v>6.13</v>
      </c>
      <c r="S30" s="33">
        <v>2.0499999999999998</v>
      </c>
      <c r="T30" s="33">
        <v>1.56</v>
      </c>
      <c r="U30" s="33">
        <v>1.99</v>
      </c>
      <c r="V30" s="33">
        <v>0.03</v>
      </c>
      <c r="W30" s="33">
        <v>5.0000000000000001E-4</v>
      </c>
      <c r="X30" s="33">
        <v>0.05</v>
      </c>
      <c r="Y30" s="33">
        <v>0.05</v>
      </c>
      <c r="Z30" s="33">
        <v>0.1</v>
      </c>
      <c r="AA30" s="42">
        <v>0</v>
      </c>
      <c r="AB30" t="s">
        <v>31</v>
      </c>
    </row>
    <row r="31" spans="1:28">
      <c r="A31" s="30">
        <v>30</v>
      </c>
      <c r="B31" s="25" t="s">
        <v>90</v>
      </c>
      <c r="C31" s="26">
        <v>449051.24009793298</v>
      </c>
      <c r="D31" s="26">
        <v>7201795.1964336401</v>
      </c>
      <c r="E31" s="27">
        <v>133.665222</v>
      </c>
      <c r="F31" s="28" t="s">
        <v>91</v>
      </c>
      <c r="G31" s="32">
        <v>1.4999999999999999E-2</v>
      </c>
      <c r="H31" s="32">
        <v>2.5000000000000001E-3</v>
      </c>
      <c r="I31" s="32">
        <v>34.5</v>
      </c>
      <c r="J31" s="32">
        <v>34.479999999999997</v>
      </c>
      <c r="K31" s="32">
        <v>1.78</v>
      </c>
      <c r="L31" s="32">
        <v>204</v>
      </c>
      <c r="M31" s="32">
        <v>6.52</v>
      </c>
      <c r="N31" s="32">
        <f t="shared" si="0"/>
        <v>34.479999999999997</v>
      </c>
      <c r="O31" s="32">
        <v>0</v>
      </c>
      <c r="P31" s="32">
        <v>3.61</v>
      </c>
      <c r="Q31" s="32">
        <v>3.36</v>
      </c>
      <c r="R31" s="32">
        <v>9.81</v>
      </c>
      <c r="S31" s="32">
        <v>21.2</v>
      </c>
      <c r="T31" s="32">
        <v>2.99</v>
      </c>
      <c r="U31" s="32">
        <v>20.49</v>
      </c>
      <c r="V31" s="32">
        <v>0.03</v>
      </c>
      <c r="W31" s="32">
        <v>5.0000000000000001E-4</v>
      </c>
      <c r="X31" s="32">
        <v>0.05</v>
      </c>
      <c r="Y31" s="32">
        <v>0.05</v>
      </c>
      <c r="Z31" s="32">
        <v>0.1</v>
      </c>
      <c r="AA31" s="40">
        <v>0</v>
      </c>
      <c r="AB31" t="s">
        <v>31</v>
      </c>
    </row>
    <row r="32" spans="1:28">
      <c r="A32" s="30">
        <v>31</v>
      </c>
      <c r="B32" s="25" t="s">
        <v>92</v>
      </c>
      <c r="C32" s="26">
        <v>453494.17019743798</v>
      </c>
      <c r="D32" s="26">
        <v>7202356.3940639002</v>
      </c>
      <c r="E32" s="27">
        <v>114.047066</v>
      </c>
      <c r="F32" s="28" t="s">
        <v>91</v>
      </c>
      <c r="G32" s="32">
        <v>1.4999999999999999E-2</v>
      </c>
      <c r="H32" s="32">
        <v>2.5000000000000001E-3</v>
      </c>
      <c r="I32" s="37">
        <v>19.600000000000001</v>
      </c>
      <c r="J32" s="29">
        <v>23.64</v>
      </c>
      <c r="K32" s="29">
        <v>1.1200000000000001</v>
      </c>
      <c r="L32" s="29">
        <v>111</v>
      </c>
      <c r="M32" s="29">
        <v>6.13</v>
      </c>
      <c r="N32" s="29">
        <f t="shared" si="0"/>
        <v>23.64</v>
      </c>
      <c r="O32" s="29">
        <v>0</v>
      </c>
      <c r="P32" s="29">
        <v>1.97</v>
      </c>
      <c r="Q32" s="29">
        <v>2.89</v>
      </c>
      <c r="R32" s="29">
        <v>7.36</v>
      </c>
      <c r="S32" s="29">
        <v>4.8</v>
      </c>
      <c r="T32" s="29">
        <v>4.03</v>
      </c>
      <c r="U32" s="29">
        <v>4.49</v>
      </c>
      <c r="V32" s="29">
        <v>0.03</v>
      </c>
      <c r="W32" s="29">
        <v>5.0000000000000001E-4</v>
      </c>
      <c r="X32" s="29">
        <v>0.05</v>
      </c>
      <c r="Y32" s="29">
        <v>0.05</v>
      </c>
      <c r="Z32" s="29">
        <v>0.1</v>
      </c>
      <c r="AA32" s="41">
        <v>0</v>
      </c>
      <c r="AB32" t="s">
        <v>31</v>
      </c>
    </row>
    <row r="33" spans="1:28">
      <c r="A33" s="30">
        <v>32</v>
      </c>
      <c r="B33" s="25" t="s">
        <v>93</v>
      </c>
      <c r="C33" s="26">
        <v>453823.22131830902</v>
      </c>
      <c r="D33" s="26">
        <v>7212458.2949563097</v>
      </c>
      <c r="E33" s="27">
        <v>116.531464</v>
      </c>
      <c r="F33" s="28" t="s">
        <v>91</v>
      </c>
      <c r="G33" s="32">
        <v>1.4999999999999999E-2</v>
      </c>
      <c r="H33" s="32">
        <v>2.5000000000000001E-3</v>
      </c>
      <c r="I33" s="38">
        <v>8.2200000000000006</v>
      </c>
      <c r="J33" s="33">
        <v>25.61</v>
      </c>
      <c r="K33" s="33">
        <v>1.2</v>
      </c>
      <c r="L33" s="33">
        <v>101</v>
      </c>
      <c r="M33" s="33">
        <v>5.42</v>
      </c>
      <c r="N33" s="33">
        <f t="shared" si="0"/>
        <v>25.61</v>
      </c>
      <c r="O33" s="33">
        <v>0</v>
      </c>
      <c r="P33" s="33">
        <v>6.6</v>
      </c>
      <c r="Q33" s="33">
        <v>2.19</v>
      </c>
      <c r="R33" s="33">
        <v>5.31</v>
      </c>
      <c r="S33" s="33">
        <v>4.9800000000000004</v>
      </c>
      <c r="T33" s="33">
        <v>5.58</v>
      </c>
      <c r="U33" s="33">
        <v>2.5</v>
      </c>
      <c r="V33" s="33">
        <v>0.03</v>
      </c>
      <c r="W33" s="33">
        <v>5.0000000000000001E-4</v>
      </c>
      <c r="X33" s="33">
        <v>0.05</v>
      </c>
      <c r="Y33" s="33">
        <v>0.05</v>
      </c>
      <c r="Z33" s="33">
        <v>0.1</v>
      </c>
      <c r="AA33" s="42">
        <v>0</v>
      </c>
      <c r="AB33" t="s">
        <v>31</v>
      </c>
    </row>
    <row r="34" spans="1:28">
      <c r="A34" s="30">
        <v>33</v>
      </c>
      <c r="B34" s="25" t="s">
        <v>94</v>
      </c>
      <c r="C34" s="26">
        <v>451859.64202073502</v>
      </c>
      <c r="D34" s="26">
        <v>7220653.1563704899</v>
      </c>
      <c r="E34" s="27">
        <v>71.870598000000001</v>
      </c>
      <c r="F34" s="28" t="s">
        <v>95</v>
      </c>
      <c r="G34" s="32">
        <v>0.50600000000000001</v>
      </c>
      <c r="H34" s="32">
        <v>2.5000000000000001E-3</v>
      </c>
      <c r="I34" s="32">
        <v>10.7</v>
      </c>
      <c r="J34" s="32">
        <v>29.55</v>
      </c>
      <c r="K34" s="32">
        <v>0.90800000000000003</v>
      </c>
      <c r="L34" s="32">
        <v>1073</v>
      </c>
      <c r="M34" s="32">
        <v>5.36</v>
      </c>
      <c r="N34" s="32">
        <f t="shared" si="0"/>
        <v>29.55</v>
      </c>
      <c r="O34" s="32">
        <v>0</v>
      </c>
      <c r="P34" s="32">
        <v>11.12</v>
      </c>
      <c r="Q34" s="32">
        <v>10.130000000000001</v>
      </c>
      <c r="R34" s="32">
        <v>25.43</v>
      </c>
      <c r="S34" s="32">
        <v>109</v>
      </c>
      <c r="T34" s="32">
        <v>7.21</v>
      </c>
      <c r="U34" s="32">
        <v>261.16000000000003</v>
      </c>
      <c r="V34" s="32">
        <v>0.03</v>
      </c>
      <c r="W34" s="32">
        <v>5.0000000000000001E-4</v>
      </c>
      <c r="X34" s="32">
        <v>0.05</v>
      </c>
      <c r="Y34" s="32">
        <v>0.05</v>
      </c>
      <c r="Z34" s="32">
        <v>0.1</v>
      </c>
      <c r="AA34" s="40">
        <v>0</v>
      </c>
      <c r="AB34" t="s">
        <v>31</v>
      </c>
    </row>
    <row r="35" spans="1:28">
      <c r="A35" s="30">
        <v>34</v>
      </c>
      <c r="B35" s="25" t="s">
        <v>96</v>
      </c>
      <c r="C35" s="26">
        <v>452804.75057034497</v>
      </c>
      <c r="D35" s="26">
        <v>7219828.3979764301</v>
      </c>
      <c r="E35" s="27">
        <v>96.760109</v>
      </c>
      <c r="F35" s="28" t="s">
        <v>95</v>
      </c>
      <c r="G35" s="29">
        <v>1.4999999999999999E-2</v>
      </c>
      <c r="H35" s="29">
        <v>2.5000000000000001E-3</v>
      </c>
      <c r="I35" s="29">
        <v>4.09</v>
      </c>
      <c r="J35" s="29">
        <v>26.59</v>
      </c>
      <c r="K35" s="29">
        <v>1.07</v>
      </c>
      <c r="L35" s="29">
        <v>727</v>
      </c>
      <c r="M35" s="29">
        <v>5.63</v>
      </c>
      <c r="N35" s="29">
        <f t="shared" si="0"/>
        <v>26.59</v>
      </c>
      <c r="O35" s="29">
        <v>0</v>
      </c>
      <c r="P35" s="29">
        <v>19.170000000000002</v>
      </c>
      <c r="Q35" s="29">
        <v>10.15</v>
      </c>
      <c r="R35" s="29">
        <v>22.07</v>
      </c>
      <c r="S35" s="29">
        <v>73.400000000000006</v>
      </c>
      <c r="T35" s="29">
        <v>10.1</v>
      </c>
      <c r="U35" s="29">
        <v>154.94999999999999</v>
      </c>
      <c r="V35" s="29">
        <v>0.03</v>
      </c>
      <c r="W35" s="29">
        <v>5.0000000000000001E-4</v>
      </c>
      <c r="X35" s="29">
        <v>0.05</v>
      </c>
      <c r="Y35" s="29">
        <v>0.05</v>
      </c>
      <c r="Z35" s="29">
        <v>0.1</v>
      </c>
      <c r="AA35" s="41">
        <v>0</v>
      </c>
      <c r="AB35" t="s">
        <v>31</v>
      </c>
    </row>
    <row r="36" spans="1:28">
      <c r="A36" s="30">
        <v>35</v>
      </c>
      <c r="B36" s="25" t="s">
        <v>97</v>
      </c>
      <c r="C36" s="26">
        <v>452844.09062252397</v>
      </c>
      <c r="D36" s="26">
        <v>7218948.7498017298</v>
      </c>
      <c r="E36" s="27">
        <v>92.514229</v>
      </c>
      <c r="F36" s="28" t="s">
        <v>95</v>
      </c>
      <c r="G36" s="29">
        <v>1.4999999999999999E-2</v>
      </c>
      <c r="H36" s="29">
        <v>2.5000000000000001E-3</v>
      </c>
      <c r="I36" s="29">
        <v>3.75</v>
      </c>
      <c r="J36" s="29">
        <v>36.450000000000003</v>
      </c>
      <c r="K36" s="29">
        <v>0.66200000000000003</v>
      </c>
      <c r="L36" s="29">
        <v>305</v>
      </c>
      <c r="M36" s="29">
        <v>5.47</v>
      </c>
      <c r="N36" s="29">
        <f t="shared" si="0"/>
        <v>36.450000000000003</v>
      </c>
      <c r="O36" s="29">
        <v>0</v>
      </c>
      <c r="P36" s="29">
        <v>10.33</v>
      </c>
      <c r="Q36" s="29">
        <v>2.59</v>
      </c>
      <c r="R36" s="29">
        <v>15.94</v>
      </c>
      <c r="S36" s="29">
        <v>25.5</v>
      </c>
      <c r="T36" s="29">
        <v>10.7</v>
      </c>
      <c r="U36" s="29">
        <v>34</v>
      </c>
      <c r="V36" s="29">
        <v>0.03</v>
      </c>
      <c r="W36" s="29">
        <v>5.0000000000000001E-4</v>
      </c>
      <c r="X36" s="29">
        <v>0.05</v>
      </c>
      <c r="Y36" s="29">
        <v>0.05</v>
      </c>
      <c r="Z36" s="29">
        <v>0.1</v>
      </c>
      <c r="AA36" s="41">
        <v>0</v>
      </c>
      <c r="AB36" t="s">
        <v>31</v>
      </c>
    </row>
    <row r="37" spans="1:28">
      <c r="A37" s="30">
        <v>36</v>
      </c>
      <c r="B37" s="25" t="s">
        <v>98</v>
      </c>
      <c r="C37" s="26">
        <v>452231.32203945401</v>
      </c>
      <c r="D37" s="26">
        <v>7217096.3443406196</v>
      </c>
      <c r="E37" s="27">
        <v>102.177498</v>
      </c>
      <c r="F37" s="28" t="s">
        <v>95</v>
      </c>
      <c r="G37" s="33">
        <v>1.52E-2</v>
      </c>
      <c r="H37" s="33">
        <v>2.5000000000000001E-3</v>
      </c>
      <c r="I37" s="33">
        <v>3.95</v>
      </c>
      <c r="J37" s="33">
        <v>31.52</v>
      </c>
      <c r="K37" s="33">
        <v>0.74399999999999999</v>
      </c>
      <c r="L37" s="33">
        <v>285</v>
      </c>
      <c r="M37" s="33">
        <v>5.72</v>
      </c>
      <c r="N37" s="33">
        <f t="shared" si="0"/>
        <v>31.52</v>
      </c>
      <c r="O37" s="33">
        <v>0</v>
      </c>
      <c r="P37" s="33">
        <v>8.32</v>
      </c>
      <c r="Q37" s="33">
        <v>3.34</v>
      </c>
      <c r="R37" s="33">
        <v>13.08</v>
      </c>
      <c r="S37" s="33">
        <v>26.2</v>
      </c>
      <c r="T37" s="33">
        <v>5.66</v>
      </c>
      <c r="U37" s="33">
        <v>45.57</v>
      </c>
      <c r="V37" s="33">
        <v>0.03</v>
      </c>
      <c r="W37" s="33">
        <v>5.0000000000000001E-4</v>
      </c>
      <c r="X37" s="33">
        <v>0.05</v>
      </c>
      <c r="Y37" s="33">
        <v>0.05</v>
      </c>
      <c r="Z37" s="33">
        <v>0.1</v>
      </c>
      <c r="AA37" s="42">
        <v>0</v>
      </c>
      <c r="AB37" t="s">
        <v>31</v>
      </c>
    </row>
    <row r="38" spans="1:28">
      <c r="A38" s="30">
        <v>37</v>
      </c>
      <c r="B38" s="25" t="s">
        <v>99</v>
      </c>
      <c r="C38" s="26">
        <v>454131.29999072402</v>
      </c>
      <c r="D38" s="26">
        <v>7215633.90000349</v>
      </c>
      <c r="E38" s="27"/>
      <c r="F38" s="28" t="s">
        <v>100</v>
      </c>
      <c r="G38" s="29">
        <v>1.83E-2</v>
      </c>
      <c r="H38" s="29">
        <v>2.5000000000000001E-3</v>
      </c>
      <c r="I38" s="29">
        <v>8.41</v>
      </c>
      <c r="J38" s="29">
        <v>12.81</v>
      </c>
      <c r="K38" s="29">
        <v>1.44</v>
      </c>
      <c r="L38" s="29">
        <v>131</v>
      </c>
      <c r="M38" s="29">
        <v>5.3</v>
      </c>
      <c r="N38" s="29">
        <f t="shared" si="0"/>
        <v>12.81</v>
      </c>
      <c r="O38" s="29">
        <v>0</v>
      </c>
      <c r="P38" s="29">
        <v>18.66</v>
      </c>
      <c r="Q38" s="29">
        <v>1.17</v>
      </c>
      <c r="R38" s="29">
        <v>8.18</v>
      </c>
      <c r="S38" s="29">
        <v>8.16</v>
      </c>
      <c r="T38" s="29">
        <v>3.37</v>
      </c>
      <c r="U38" s="29">
        <v>5.99</v>
      </c>
      <c r="V38" s="29">
        <v>0.03</v>
      </c>
      <c r="W38" s="29">
        <v>5.0000000000000001E-4</v>
      </c>
      <c r="X38" s="29">
        <v>0.05</v>
      </c>
      <c r="Y38" s="29">
        <v>0.05</v>
      </c>
      <c r="Z38" s="29">
        <v>0.1</v>
      </c>
      <c r="AA38" s="29">
        <v>0</v>
      </c>
      <c r="AB38" t="s">
        <v>31</v>
      </c>
    </row>
    <row r="39" spans="1:28">
      <c r="A39" s="30">
        <v>38</v>
      </c>
      <c r="B39" s="25" t="s">
        <v>101</v>
      </c>
      <c r="C39" s="26">
        <v>453856.79983696598</v>
      </c>
      <c r="D39" s="26">
        <v>7217349.3999527302</v>
      </c>
      <c r="E39" s="27"/>
      <c r="F39" s="28" t="s">
        <v>100</v>
      </c>
      <c r="G39" s="29">
        <v>1.4999999999999999E-2</v>
      </c>
      <c r="H39" s="29">
        <v>2.5000000000000001E-3</v>
      </c>
      <c r="I39" s="29">
        <v>13.5</v>
      </c>
      <c r="J39" s="29">
        <v>16.75</v>
      </c>
      <c r="K39" s="29">
        <v>1.56</v>
      </c>
      <c r="L39" s="29">
        <v>159</v>
      </c>
      <c r="M39" s="29">
        <v>5.85</v>
      </c>
      <c r="N39" s="29">
        <f t="shared" si="0"/>
        <v>16.75</v>
      </c>
      <c r="O39" s="29">
        <v>0</v>
      </c>
      <c r="P39" s="29">
        <v>21.82</v>
      </c>
      <c r="Q39" s="29">
        <v>2.42</v>
      </c>
      <c r="R39" s="29">
        <v>5.72</v>
      </c>
      <c r="S39" s="29">
        <v>11.6</v>
      </c>
      <c r="T39" s="29">
        <v>3.3</v>
      </c>
      <c r="U39" s="29">
        <v>6.49</v>
      </c>
      <c r="V39" s="29">
        <v>0.03</v>
      </c>
      <c r="W39" s="29">
        <v>5.0000000000000001E-4</v>
      </c>
      <c r="X39" s="29">
        <v>0.05</v>
      </c>
      <c r="Y39" s="29">
        <v>0.05</v>
      </c>
      <c r="Z39" s="29">
        <v>0.1</v>
      </c>
      <c r="AA39" s="29">
        <v>0</v>
      </c>
      <c r="AB39" t="s">
        <v>31</v>
      </c>
    </row>
    <row r="40" spans="1:28">
      <c r="A40" s="30">
        <v>39</v>
      </c>
      <c r="B40" s="25" t="s">
        <v>102</v>
      </c>
      <c r="C40" s="26">
        <v>448622.09998293</v>
      </c>
      <c r="D40" s="26">
        <v>7212784.3000807501</v>
      </c>
      <c r="E40" s="27"/>
      <c r="F40" s="28" t="s">
        <v>100</v>
      </c>
      <c r="G40" s="33">
        <v>1.4999999999999999E-2</v>
      </c>
      <c r="H40" s="33">
        <v>2.5000000000000001E-3</v>
      </c>
      <c r="I40" s="33">
        <v>10.1</v>
      </c>
      <c r="J40" s="33">
        <v>17.73</v>
      </c>
      <c r="K40" s="33">
        <v>1.6</v>
      </c>
      <c r="L40" s="33">
        <v>369</v>
      </c>
      <c r="M40" s="33">
        <v>5.32</v>
      </c>
      <c r="N40" s="33">
        <f t="shared" si="0"/>
        <v>17.73</v>
      </c>
      <c r="O40" s="33">
        <v>0</v>
      </c>
      <c r="P40" s="33">
        <v>5.73</v>
      </c>
      <c r="Q40" s="33">
        <v>3.09</v>
      </c>
      <c r="R40" s="33">
        <v>13.08</v>
      </c>
      <c r="S40" s="33">
        <v>26</v>
      </c>
      <c r="T40" s="33">
        <v>3.55</v>
      </c>
      <c r="U40" s="33">
        <v>46.81</v>
      </c>
      <c r="V40" s="33">
        <v>0.03</v>
      </c>
      <c r="W40" s="33">
        <v>5.0000000000000001E-4</v>
      </c>
      <c r="X40" s="33">
        <v>0.05</v>
      </c>
      <c r="Y40" s="33">
        <v>0.05</v>
      </c>
      <c r="Z40" s="33">
        <v>0.1</v>
      </c>
      <c r="AA40" s="33">
        <v>0</v>
      </c>
      <c r="AB40" t="s">
        <v>31</v>
      </c>
    </row>
    <row r="41" spans="1:28">
      <c r="A41" s="30">
        <v>40</v>
      </c>
      <c r="B41" s="25" t="s">
        <v>103</v>
      </c>
      <c r="C41" s="26">
        <v>440406.38256567903</v>
      </c>
      <c r="D41" s="26">
        <v>7197024.0255441004</v>
      </c>
      <c r="E41" s="27">
        <v>124.85183000000001</v>
      </c>
      <c r="F41" s="28" t="s">
        <v>104</v>
      </c>
      <c r="G41" s="32">
        <v>0.151</v>
      </c>
      <c r="H41" s="32">
        <v>3.5000000000000001E-3</v>
      </c>
      <c r="I41" s="32">
        <v>136</v>
      </c>
      <c r="J41" s="32">
        <v>30.54</v>
      </c>
      <c r="K41" s="32">
        <v>0.31900000000000001</v>
      </c>
      <c r="L41" s="32">
        <v>531</v>
      </c>
      <c r="M41" s="32">
        <v>7.51</v>
      </c>
      <c r="N41" s="32">
        <f t="shared" si="0"/>
        <v>30.54</v>
      </c>
      <c r="O41" s="32">
        <v>0</v>
      </c>
      <c r="P41" s="32">
        <v>10.130000000000001</v>
      </c>
      <c r="Q41" s="32">
        <v>14.47</v>
      </c>
      <c r="R41" s="32">
        <v>36.79</v>
      </c>
      <c r="S41" s="32">
        <v>22.6</v>
      </c>
      <c r="T41" s="32">
        <v>11.2</v>
      </c>
      <c r="U41" s="32">
        <v>36.99</v>
      </c>
      <c r="V41" s="32">
        <v>0.03</v>
      </c>
      <c r="W41" s="32">
        <v>5.0000000000000001E-4</v>
      </c>
      <c r="X41" s="32">
        <v>0.05</v>
      </c>
      <c r="Y41" s="32">
        <v>0.05</v>
      </c>
      <c r="Z41" s="32">
        <v>0.1</v>
      </c>
      <c r="AA41" s="40">
        <v>300</v>
      </c>
      <c r="AB41" t="s">
        <v>105</v>
      </c>
    </row>
    <row r="42" spans="1:28">
      <c r="A42" s="30">
        <v>41</v>
      </c>
      <c r="B42" s="25" t="s">
        <v>106</v>
      </c>
      <c r="C42" s="26">
        <v>442015.236900369</v>
      </c>
      <c r="D42" s="26">
        <v>7194658.5646666996</v>
      </c>
      <c r="E42" s="27">
        <v>145.051727</v>
      </c>
      <c r="F42" s="28" t="s">
        <v>104</v>
      </c>
      <c r="G42" s="29">
        <v>1.4999999999999999E-2</v>
      </c>
      <c r="H42" s="29">
        <v>2.5000000000000001E-3</v>
      </c>
      <c r="I42" s="29">
        <v>47.6</v>
      </c>
      <c r="J42" s="29">
        <v>15.76</v>
      </c>
      <c r="K42" s="29">
        <v>7.4999999999999997E-2</v>
      </c>
      <c r="L42" s="29">
        <v>214</v>
      </c>
      <c r="M42" s="29">
        <v>7.23</v>
      </c>
      <c r="N42" s="29">
        <f t="shared" si="0"/>
        <v>15.76</v>
      </c>
      <c r="O42" s="29">
        <v>0</v>
      </c>
      <c r="P42" s="29">
        <v>5.36</v>
      </c>
      <c r="Q42" s="29">
        <v>4.29</v>
      </c>
      <c r="R42" s="29">
        <v>17.170000000000002</v>
      </c>
      <c r="S42" s="29">
        <v>6.27</v>
      </c>
      <c r="T42" s="29">
        <v>7.68</v>
      </c>
      <c r="U42" s="29">
        <v>15.49</v>
      </c>
      <c r="V42" s="29">
        <v>0.03</v>
      </c>
      <c r="W42" s="29">
        <v>5.0000000000000001E-4</v>
      </c>
      <c r="X42" s="29">
        <v>0.05</v>
      </c>
      <c r="Y42" s="29">
        <v>0.05</v>
      </c>
      <c r="Z42" s="29">
        <v>0.1</v>
      </c>
      <c r="AA42" s="41">
        <v>0</v>
      </c>
      <c r="AB42" t="s">
        <v>31</v>
      </c>
    </row>
    <row r="43" spans="1:28">
      <c r="A43" s="30">
        <v>42</v>
      </c>
      <c r="B43" s="25" t="s">
        <v>107</v>
      </c>
      <c r="C43" s="26">
        <v>446015.20244705601</v>
      </c>
      <c r="D43" s="26">
        <v>7188547.5564474203</v>
      </c>
      <c r="E43" s="27">
        <v>130.70632900000001</v>
      </c>
      <c r="F43" s="28" t="s">
        <v>104</v>
      </c>
      <c r="G43" s="29">
        <v>1.4999999999999999E-2</v>
      </c>
      <c r="H43" s="29">
        <v>2.5000000000000001E-3</v>
      </c>
      <c r="I43" s="29">
        <v>50.9</v>
      </c>
      <c r="J43" s="29">
        <v>25.61</v>
      </c>
      <c r="K43" s="29">
        <v>0.154</v>
      </c>
      <c r="L43" s="29">
        <v>223</v>
      </c>
      <c r="M43" s="29">
        <v>7.48</v>
      </c>
      <c r="N43" s="29">
        <f t="shared" si="0"/>
        <v>25.61</v>
      </c>
      <c r="O43" s="29">
        <v>0</v>
      </c>
      <c r="P43" s="29">
        <v>4.57</v>
      </c>
      <c r="Q43" s="29">
        <v>5.54</v>
      </c>
      <c r="R43" s="29">
        <v>14.31</v>
      </c>
      <c r="S43" s="29">
        <v>7.96</v>
      </c>
      <c r="T43" s="29">
        <v>8.99</v>
      </c>
      <c r="U43" s="29">
        <v>10.49</v>
      </c>
      <c r="V43" s="29">
        <v>0.03</v>
      </c>
      <c r="W43" s="29">
        <v>5.0000000000000001E-4</v>
      </c>
      <c r="X43" s="29">
        <v>0.05</v>
      </c>
      <c r="Y43" s="29">
        <v>0.05</v>
      </c>
      <c r="Z43" s="29">
        <v>0.1</v>
      </c>
      <c r="AA43" s="41">
        <v>0</v>
      </c>
      <c r="AB43" t="s">
        <v>31</v>
      </c>
    </row>
    <row r="44" spans="1:28">
      <c r="A44" s="30">
        <v>43</v>
      </c>
      <c r="B44" s="25" t="s">
        <v>108</v>
      </c>
      <c r="C44" s="26">
        <v>447401.11342465802</v>
      </c>
      <c r="D44" s="26">
        <v>7194801.8422097303</v>
      </c>
      <c r="E44" s="27">
        <v>166.592727999999</v>
      </c>
      <c r="F44" s="28" t="s">
        <v>104</v>
      </c>
      <c r="G44" s="33">
        <v>4.02E-2</v>
      </c>
      <c r="H44" s="33">
        <v>2.63E-3</v>
      </c>
      <c r="I44" s="33">
        <v>33</v>
      </c>
      <c r="J44" s="33">
        <v>32.51</v>
      </c>
      <c r="K44" s="33">
        <v>0.23200000000000001</v>
      </c>
      <c r="L44" s="33">
        <v>233</v>
      </c>
      <c r="M44" s="33">
        <v>7.32</v>
      </c>
      <c r="N44" s="33">
        <f t="shared" si="0"/>
        <v>32.51</v>
      </c>
      <c r="O44" s="33">
        <v>0</v>
      </c>
      <c r="P44" s="33">
        <v>9.16</v>
      </c>
      <c r="Q44" s="33">
        <v>10.97</v>
      </c>
      <c r="R44" s="33">
        <v>10.220000000000001</v>
      </c>
      <c r="S44" s="33">
        <v>18.2</v>
      </c>
      <c r="T44" s="33">
        <v>5.58</v>
      </c>
      <c r="U44" s="33">
        <v>16.260000000000002</v>
      </c>
      <c r="V44" s="33">
        <v>0.03</v>
      </c>
      <c r="W44" s="33">
        <v>5.0000000000000001E-4</v>
      </c>
      <c r="X44" s="33">
        <v>0.05</v>
      </c>
      <c r="Y44" s="33">
        <v>0.05</v>
      </c>
      <c r="Z44" s="33">
        <v>0.1</v>
      </c>
      <c r="AA44" s="42">
        <v>0</v>
      </c>
      <c r="AB44" t="s">
        <v>31</v>
      </c>
    </row>
    <row r="45" spans="1:28">
      <c r="A45" s="30">
        <v>44</v>
      </c>
      <c r="B45" s="25" t="s">
        <v>109</v>
      </c>
      <c r="C45" s="26">
        <v>445638.08374384401</v>
      </c>
      <c r="D45" s="26">
        <v>7191475.9828871703</v>
      </c>
      <c r="E45" s="27">
        <v>117.157432999999</v>
      </c>
      <c r="F45" s="28" t="s">
        <v>110</v>
      </c>
      <c r="G45" s="29">
        <v>0.125</v>
      </c>
      <c r="H45" s="29">
        <v>2.5000000000000001E-3</v>
      </c>
      <c r="I45" s="29">
        <v>16</v>
      </c>
      <c r="J45" s="29">
        <v>31.02</v>
      </c>
      <c r="K45" s="29">
        <v>7.4999999999999997E-2</v>
      </c>
      <c r="L45" s="29">
        <v>155</v>
      </c>
      <c r="M45" s="29">
        <v>6.61</v>
      </c>
      <c r="N45" s="29">
        <v>31.02</v>
      </c>
      <c r="O45" s="29">
        <v>0</v>
      </c>
      <c r="P45" s="29">
        <v>3.54</v>
      </c>
      <c r="Q45" s="29">
        <v>3.85</v>
      </c>
      <c r="R45" s="29">
        <v>11.03</v>
      </c>
      <c r="S45" s="29">
        <v>7.17</v>
      </c>
      <c r="T45" s="29">
        <v>4.0999999999999996</v>
      </c>
      <c r="U45" s="29">
        <v>7.99</v>
      </c>
      <c r="V45" s="29">
        <v>0.03</v>
      </c>
      <c r="W45" s="29">
        <v>5.0000000000000001E-4</v>
      </c>
      <c r="X45" s="29">
        <v>0.05</v>
      </c>
      <c r="Y45" s="29">
        <v>0.05</v>
      </c>
      <c r="Z45" s="29">
        <v>0.1</v>
      </c>
      <c r="AA45" s="29">
        <v>0</v>
      </c>
      <c r="AB45" t="s">
        <v>31</v>
      </c>
    </row>
    <row r="46" spans="1:28">
      <c r="A46" s="30">
        <v>45</v>
      </c>
      <c r="B46" s="25" t="s">
        <v>111</v>
      </c>
      <c r="C46" s="26">
        <v>448770.653786271</v>
      </c>
      <c r="D46" s="26">
        <v>7191088.85374864</v>
      </c>
      <c r="E46" s="27">
        <v>148.960769999999</v>
      </c>
      <c r="F46" s="28" t="s">
        <v>110</v>
      </c>
      <c r="G46" s="29">
        <v>1.4999999999999999E-2</v>
      </c>
      <c r="H46" s="29">
        <v>2.5000000000000001E-3</v>
      </c>
      <c r="I46" s="29">
        <v>26.7</v>
      </c>
      <c r="J46" s="29">
        <v>30.15</v>
      </c>
      <c r="K46" s="29">
        <v>0.31</v>
      </c>
      <c r="L46" s="29">
        <v>249</v>
      </c>
      <c r="M46" s="29">
        <v>6.06</v>
      </c>
      <c r="N46" s="29">
        <v>30.15</v>
      </c>
      <c r="O46" s="29">
        <v>0</v>
      </c>
      <c r="P46" s="29">
        <v>5.2</v>
      </c>
      <c r="Q46" s="29">
        <v>8.2200000000000006</v>
      </c>
      <c r="R46" s="29">
        <v>17.170000000000002</v>
      </c>
      <c r="S46" s="29">
        <v>8.74</v>
      </c>
      <c r="T46" s="29">
        <v>8.31</v>
      </c>
      <c r="U46" s="29">
        <v>17.739999999999998</v>
      </c>
      <c r="V46" s="29">
        <v>0.03</v>
      </c>
      <c r="W46" s="29">
        <v>5.0000000000000001E-4</v>
      </c>
      <c r="X46" s="29">
        <v>0.05</v>
      </c>
      <c r="Y46" s="29">
        <v>0.05</v>
      </c>
      <c r="Z46" s="29">
        <v>0.1</v>
      </c>
      <c r="AA46" s="29">
        <v>0</v>
      </c>
      <c r="AB46" t="s">
        <v>31</v>
      </c>
    </row>
    <row r="47" spans="1:28">
      <c r="A47" s="30">
        <v>46</v>
      </c>
      <c r="B47" s="25" t="s">
        <v>112</v>
      </c>
      <c r="C47" s="26">
        <v>440241.09701151203</v>
      </c>
      <c r="D47" s="26">
        <v>7199439.9615142001</v>
      </c>
      <c r="E47" s="27">
        <v>166.240783999999</v>
      </c>
      <c r="F47" s="28" t="s">
        <v>113</v>
      </c>
      <c r="G47" s="29">
        <v>1.4999999999999999E-2</v>
      </c>
      <c r="H47" s="29">
        <v>2.5000000000000001E-3</v>
      </c>
      <c r="I47" s="29">
        <v>134</v>
      </c>
      <c r="J47" s="29">
        <v>20.69</v>
      </c>
      <c r="K47" s="29">
        <v>0.38900000000000001</v>
      </c>
      <c r="L47" s="29">
        <v>468</v>
      </c>
      <c r="M47" s="29">
        <v>6.78</v>
      </c>
      <c r="N47" s="29">
        <v>20.69</v>
      </c>
      <c r="O47" s="29">
        <v>0</v>
      </c>
      <c r="P47" s="29">
        <v>123.22</v>
      </c>
      <c r="Q47" s="29">
        <v>16.257999999999999</v>
      </c>
      <c r="R47" s="29">
        <v>22.48</v>
      </c>
      <c r="S47" s="29">
        <v>20</v>
      </c>
      <c r="T47" s="29">
        <v>15</v>
      </c>
      <c r="U47" s="29">
        <v>29.99</v>
      </c>
      <c r="V47" s="29">
        <v>0.03</v>
      </c>
      <c r="W47" s="29">
        <v>5.0000000000000001E-4</v>
      </c>
      <c r="X47" s="29">
        <v>0.05</v>
      </c>
      <c r="Y47" s="29">
        <v>0.05</v>
      </c>
      <c r="Z47" s="29">
        <v>0.1</v>
      </c>
      <c r="AA47" s="29">
        <v>0</v>
      </c>
      <c r="AB47" t="s">
        <v>31</v>
      </c>
    </row>
    <row r="48" spans="1:28">
      <c r="A48" s="30">
        <v>47</v>
      </c>
      <c r="B48" s="25" t="s">
        <v>114</v>
      </c>
      <c r="C48" s="26">
        <v>442884.067579119</v>
      </c>
      <c r="D48" s="26">
        <v>7200637.6498406697</v>
      </c>
      <c r="E48" s="27">
        <v>135.97673</v>
      </c>
      <c r="F48" s="28" t="s">
        <v>113</v>
      </c>
      <c r="G48" s="29">
        <v>5.0599999999999999E-2</v>
      </c>
      <c r="H48" s="29">
        <v>2.5000000000000001E-3</v>
      </c>
      <c r="I48" s="29">
        <v>102</v>
      </c>
      <c r="J48" s="29">
        <v>13.29</v>
      </c>
      <c r="K48" s="29">
        <v>0.624</v>
      </c>
      <c r="L48" s="29">
        <v>378</v>
      </c>
      <c r="M48" s="29">
        <v>6.29</v>
      </c>
      <c r="N48" s="29">
        <v>12.29</v>
      </c>
      <c r="O48" s="29">
        <v>0</v>
      </c>
      <c r="P48" s="29">
        <v>116.15</v>
      </c>
      <c r="Q48" s="29">
        <v>13.57</v>
      </c>
      <c r="R48" s="29">
        <v>24.12</v>
      </c>
      <c r="S48" s="29">
        <v>17.8</v>
      </c>
      <c r="T48" s="29">
        <v>12.4</v>
      </c>
      <c r="U48" s="29">
        <v>33.99</v>
      </c>
      <c r="V48" s="29">
        <v>0.03</v>
      </c>
      <c r="W48" s="29">
        <v>5.0000000000000001E-4</v>
      </c>
      <c r="X48" s="29">
        <v>0.05</v>
      </c>
      <c r="Y48" s="29">
        <v>0.05</v>
      </c>
      <c r="Z48" s="29">
        <v>0.1</v>
      </c>
      <c r="AA48" s="29">
        <v>0</v>
      </c>
      <c r="AB48" t="s">
        <v>31</v>
      </c>
    </row>
    <row r="49" spans="1:28">
      <c r="A49" s="30">
        <v>48</v>
      </c>
      <c r="B49" s="25" t="s">
        <v>115</v>
      </c>
      <c r="C49" s="26">
        <v>433551.786332761</v>
      </c>
      <c r="D49" s="26">
        <v>7203004.6200012797</v>
      </c>
      <c r="E49" s="27">
        <v>98.590462000000002</v>
      </c>
      <c r="F49" s="28" t="s">
        <v>116</v>
      </c>
      <c r="G49" s="29">
        <v>1.4999999999999999E-2</v>
      </c>
      <c r="H49" s="29">
        <v>2.5000000000000001E-3</v>
      </c>
      <c r="I49" s="29">
        <v>49.7</v>
      </c>
      <c r="J49" s="29">
        <v>155.63</v>
      </c>
      <c r="K49" s="29">
        <v>0.87</v>
      </c>
      <c r="L49" s="29">
        <v>680</v>
      </c>
      <c r="M49" s="29">
        <v>7.68</v>
      </c>
      <c r="N49" s="29">
        <v>155.63</v>
      </c>
      <c r="O49" s="29">
        <v>0</v>
      </c>
      <c r="P49" s="29">
        <v>55.15</v>
      </c>
      <c r="Q49" s="29">
        <v>11.18</v>
      </c>
      <c r="R49" s="29">
        <v>24.93</v>
      </c>
      <c r="S49" s="29">
        <v>76.7</v>
      </c>
      <c r="T49" s="29">
        <v>13.3</v>
      </c>
      <c r="U49" s="29">
        <v>45.49</v>
      </c>
      <c r="V49" s="29">
        <v>0.03</v>
      </c>
      <c r="W49" s="29">
        <v>5.0000000000000001E-4</v>
      </c>
      <c r="X49" s="29">
        <v>0.05</v>
      </c>
      <c r="Y49" s="29">
        <v>0.05</v>
      </c>
      <c r="Z49" s="29">
        <v>0.1</v>
      </c>
      <c r="AA49" s="29">
        <v>0</v>
      </c>
      <c r="AB49" t="s">
        <v>31</v>
      </c>
    </row>
    <row r="50" spans="1:28">
      <c r="A50" s="30">
        <v>49</v>
      </c>
      <c r="B50" s="25" t="s">
        <v>117</v>
      </c>
      <c r="C50" s="26">
        <v>440845.43831156602</v>
      </c>
      <c r="D50" s="26">
        <v>7201683.0993045503</v>
      </c>
      <c r="E50" s="27">
        <v>132.202652</v>
      </c>
      <c r="F50" s="28" t="s">
        <v>116</v>
      </c>
      <c r="G50" s="29">
        <v>1.4999999999999999E-2</v>
      </c>
      <c r="H50" s="29">
        <v>2.5000000000000001E-3</v>
      </c>
      <c r="I50" s="29">
        <v>57.3</v>
      </c>
      <c r="J50" s="29">
        <v>31.16</v>
      </c>
      <c r="K50" s="29">
        <v>0.316</v>
      </c>
      <c r="L50" s="29">
        <v>275</v>
      </c>
      <c r="M50" s="29">
        <v>7.01</v>
      </c>
      <c r="N50" s="29">
        <v>31.16</v>
      </c>
      <c r="O50" s="29">
        <v>0</v>
      </c>
      <c r="P50" s="29">
        <v>8.2799999999999994</v>
      </c>
      <c r="Q50" s="29">
        <v>8.77</v>
      </c>
      <c r="R50" s="29">
        <v>16.350000000000001</v>
      </c>
      <c r="S50" s="29">
        <v>10.9</v>
      </c>
      <c r="T50" s="29">
        <v>10.9</v>
      </c>
      <c r="U50" s="36">
        <v>21.68</v>
      </c>
      <c r="V50" s="29">
        <v>0.03</v>
      </c>
      <c r="W50" s="29">
        <v>5.0000000000000001E-4</v>
      </c>
      <c r="X50" s="29">
        <v>0.05</v>
      </c>
      <c r="Y50" s="29">
        <v>0.05</v>
      </c>
      <c r="Z50" s="29">
        <v>0.1</v>
      </c>
      <c r="AA50" s="29">
        <v>0</v>
      </c>
      <c r="AB50" t="s">
        <v>31</v>
      </c>
    </row>
    <row r="51" spans="1:28">
      <c r="A51" s="30">
        <v>50</v>
      </c>
      <c r="B51" s="25" t="s">
        <v>118</v>
      </c>
      <c r="C51" s="26">
        <v>445240.45867724298</v>
      </c>
      <c r="D51" s="26">
        <v>7208328.8522650003</v>
      </c>
      <c r="E51" s="27">
        <v>101.834914999999</v>
      </c>
      <c r="F51" s="28" t="s">
        <v>119</v>
      </c>
      <c r="G51" s="29">
        <v>1.4999999999999999E-2</v>
      </c>
      <c r="H51" s="29">
        <v>2.5000000000000001E-3</v>
      </c>
      <c r="I51" s="29">
        <v>6.34</v>
      </c>
      <c r="J51" s="29">
        <v>46.26</v>
      </c>
      <c r="K51" s="29">
        <v>0.38600000000000001</v>
      </c>
      <c r="L51" s="29">
        <v>149</v>
      </c>
      <c r="M51" s="29">
        <v>7.06</v>
      </c>
      <c r="N51" s="29">
        <v>46.26</v>
      </c>
      <c r="O51" s="29">
        <v>0</v>
      </c>
      <c r="P51" s="29">
        <v>5.44</v>
      </c>
      <c r="Q51" s="29">
        <v>0.95899999999999996</v>
      </c>
      <c r="R51" s="29">
        <v>3.27</v>
      </c>
      <c r="S51" s="29">
        <v>23.8</v>
      </c>
      <c r="T51" s="29">
        <v>1.9</v>
      </c>
      <c r="U51" s="29">
        <v>1.48</v>
      </c>
      <c r="V51" s="29">
        <v>0.03</v>
      </c>
      <c r="W51" s="29">
        <v>5.0000000000000001E-4</v>
      </c>
      <c r="X51" s="29">
        <v>0.05</v>
      </c>
      <c r="Y51" s="29">
        <v>0.05</v>
      </c>
      <c r="Z51" s="29">
        <v>0.1</v>
      </c>
      <c r="AA51" s="29">
        <v>0</v>
      </c>
      <c r="AB51" t="s">
        <v>31</v>
      </c>
    </row>
    <row r="52" spans="1:28">
      <c r="A52" s="30">
        <v>51</v>
      </c>
      <c r="B52" s="25" t="s">
        <v>120</v>
      </c>
      <c r="C52" s="26">
        <v>440283.74919897801</v>
      </c>
      <c r="D52" s="26">
        <v>7205499.3411832899</v>
      </c>
      <c r="E52" s="27">
        <v>65.534019000000001</v>
      </c>
      <c r="F52" s="28" t="s">
        <v>121</v>
      </c>
      <c r="G52" s="29">
        <v>1.4999999999999999E-2</v>
      </c>
      <c r="H52" s="29">
        <v>2.5000000000000001E-3</v>
      </c>
      <c r="I52" s="29">
        <v>67.3</v>
      </c>
      <c r="J52" s="29">
        <v>15.76</v>
      </c>
      <c r="K52" s="29">
        <v>0.47399999999999998</v>
      </c>
      <c r="L52" s="29">
        <v>945</v>
      </c>
      <c r="M52" s="29">
        <v>5.92</v>
      </c>
      <c r="N52" s="29">
        <v>15.76</v>
      </c>
      <c r="O52" s="29">
        <v>0</v>
      </c>
      <c r="P52" s="29">
        <v>16.84</v>
      </c>
      <c r="Q52" s="29">
        <v>9.41</v>
      </c>
      <c r="R52" s="29">
        <v>22.08</v>
      </c>
      <c r="S52" s="29">
        <v>97.7</v>
      </c>
      <c r="T52" s="29">
        <v>17.5</v>
      </c>
      <c r="U52" s="29">
        <v>192.17</v>
      </c>
      <c r="V52" s="29">
        <v>0.03</v>
      </c>
      <c r="W52" s="29">
        <v>5.0000000000000001E-4</v>
      </c>
      <c r="X52" s="29">
        <v>0.05</v>
      </c>
      <c r="Y52" s="29">
        <v>0.05</v>
      </c>
      <c r="Z52" s="29">
        <v>0.1</v>
      </c>
      <c r="AA52" s="29">
        <v>0</v>
      </c>
      <c r="AB52" t="s">
        <v>31</v>
      </c>
    </row>
    <row r="53" spans="1:28">
      <c r="A53" s="30">
        <v>52</v>
      </c>
      <c r="B53" s="25" t="s">
        <v>122</v>
      </c>
      <c r="C53" s="26">
        <v>435576.19603942899</v>
      </c>
      <c r="D53" s="26">
        <v>7200949.9053997695</v>
      </c>
      <c r="E53" s="27">
        <v>109.782341</v>
      </c>
      <c r="F53" s="28" t="s">
        <v>121</v>
      </c>
      <c r="G53" s="29">
        <v>4.0599999999999997E-2</v>
      </c>
      <c r="H53" s="29">
        <v>2.5000000000000001E-3</v>
      </c>
      <c r="I53" s="29">
        <v>82.36</v>
      </c>
      <c r="J53" s="29">
        <v>15.08</v>
      </c>
      <c r="K53" s="29">
        <v>0.316</v>
      </c>
      <c r="L53" s="29">
        <v>462</v>
      </c>
      <c r="M53" s="29">
        <v>6.02</v>
      </c>
      <c r="N53" s="29">
        <v>15.08</v>
      </c>
      <c r="O53" s="29">
        <v>0</v>
      </c>
      <c r="P53" s="29">
        <v>8.91</v>
      </c>
      <c r="Q53" s="29">
        <v>9.83</v>
      </c>
      <c r="R53" s="29">
        <v>32.700000000000003</v>
      </c>
      <c r="S53" s="29">
        <v>22.5</v>
      </c>
      <c r="T53" s="29">
        <v>13.2</v>
      </c>
      <c r="U53" s="36">
        <v>45.3</v>
      </c>
      <c r="V53" s="29">
        <v>0.03</v>
      </c>
      <c r="W53" s="29">
        <v>5.0000000000000001E-4</v>
      </c>
      <c r="X53" s="29">
        <v>0.05</v>
      </c>
      <c r="Y53" s="29">
        <v>0.05</v>
      </c>
      <c r="Z53" s="29">
        <v>0.1</v>
      </c>
      <c r="AA53" s="29">
        <v>0</v>
      </c>
      <c r="AB53" t="s">
        <v>31</v>
      </c>
    </row>
    <row r="54" spans="1:28">
      <c r="A54" s="30">
        <v>53</v>
      </c>
      <c r="B54" s="16" t="s">
        <v>123</v>
      </c>
      <c r="C54" s="25">
        <v>447270</v>
      </c>
      <c r="D54" s="25">
        <v>7210100</v>
      </c>
      <c r="E54" s="25"/>
      <c r="F54" s="28" t="s">
        <v>124</v>
      </c>
      <c r="G54" s="29">
        <v>1.4999999999999999E-2</v>
      </c>
      <c r="H54" s="29">
        <v>2.5000000000000001E-3</v>
      </c>
      <c r="I54" s="29">
        <v>0.26200000000000001</v>
      </c>
      <c r="J54" s="29">
        <v>201</v>
      </c>
      <c r="K54" s="29">
        <v>5.64</v>
      </c>
      <c r="L54" s="29">
        <v>2410</v>
      </c>
      <c r="M54" s="29">
        <v>7.64</v>
      </c>
      <c r="N54" s="29">
        <v>201</v>
      </c>
      <c r="O54" s="29">
        <v>0</v>
      </c>
      <c r="P54" s="29">
        <v>239.45</v>
      </c>
      <c r="Q54" s="29">
        <v>30.1</v>
      </c>
      <c r="R54" s="29">
        <v>6.95</v>
      </c>
      <c r="S54" s="29">
        <v>388</v>
      </c>
      <c r="T54" s="29">
        <v>8.9</v>
      </c>
      <c r="U54" s="29">
        <v>453.3</v>
      </c>
      <c r="V54" s="29">
        <v>0.03</v>
      </c>
      <c r="W54" s="29">
        <v>5.0000000000000001E-4</v>
      </c>
      <c r="X54" s="29">
        <v>0.05</v>
      </c>
      <c r="Y54" s="29">
        <v>0.05</v>
      </c>
      <c r="Z54" s="29">
        <v>0.1</v>
      </c>
      <c r="AA54" s="29">
        <v>0</v>
      </c>
      <c r="AB54" t="s">
        <v>31</v>
      </c>
    </row>
    <row r="55" spans="1:28">
      <c r="A55" s="30">
        <v>54</v>
      </c>
      <c r="B55" s="25" t="s">
        <v>125</v>
      </c>
      <c r="C55" s="25">
        <v>449214</v>
      </c>
      <c r="D55" s="25">
        <v>7212388</v>
      </c>
      <c r="E55" s="25"/>
      <c r="F55" s="28" t="s">
        <v>124</v>
      </c>
      <c r="G55" s="29">
        <v>1.4999999999999999E-2</v>
      </c>
      <c r="H55" s="29">
        <v>2.5000000000000001E-3</v>
      </c>
      <c r="I55" s="29">
        <v>15.7</v>
      </c>
      <c r="J55" s="29">
        <v>192.96</v>
      </c>
      <c r="K55" s="29">
        <v>2.35</v>
      </c>
      <c r="L55" s="29">
        <v>1072</v>
      </c>
      <c r="M55" s="29">
        <v>8.14</v>
      </c>
      <c r="N55" s="29">
        <v>196.96</v>
      </c>
      <c r="O55" s="29">
        <v>0</v>
      </c>
      <c r="P55" s="29">
        <v>37.11</v>
      </c>
      <c r="Q55" s="29">
        <v>4.8600000000000003</v>
      </c>
      <c r="R55" s="29">
        <v>6.13</v>
      </c>
      <c r="S55" s="29">
        <v>179.4</v>
      </c>
      <c r="T55" s="29">
        <v>3.04</v>
      </c>
      <c r="U55" s="29">
        <v>157.68</v>
      </c>
      <c r="V55" s="29">
        <v>0.03</v>
      </c>
      <c r="W55" s="29">
        <v>5.0000000000000001E-4</v>
      </c>
      <c r="X55" s="29">
        <v>0.05</v>
      </c>
      <c r="Y55" s="29">
        <v>0.05</v>
      </c>
      <c r="Z55" s="29">
        <v>0.1</v>
      </c>
      <c r="AA55" s="29">
        <v>0</v>
      </c>
      <c r="AB55" t="s">
        <v>31</v>
      </c>
    </row>
    <row r="56" spans="1:28">
      <c r="A56" s="30">
        <v>55</v>
      </c>
      <c r="B56" s="25" t="s">
        <v>126</v>
      </c>
      <c r="C56" s="25">
        <v>445242</v>
      </c>
      <c r="D56" s="25">
        <v>7199682</v>
      </c>
      <c r="E56" s="25"/>
      <c r="F56" s="28" t="s">
        <v>127</v>
      </c>
      <c r="G56" s="29">
        <v>0.06</v>
      </c>
      <c r="H56" s="29">
        <v>2.5000000000000001E-3</v>
      </c>
      <c r="I56" s="29">
        <v>14.09</v>
      </c>
      <c r="J56" s="29">
        <v>48.24</v>
      </c>
      <c r="K56" s="29">
        <v>0.93400000000000005</v>
      </c>
      <c r="L56" s="29">
        <v>305</v>
      </c>
      <c r="M56" s="29">
        <v>6.99</v>
      </c>
      <c r="N56" s="29">
        <v>48.24</v>
      </c>
      <c r="O56" s="29">
        <v>0</v>
      </c>
      <c r="P56" s="29">
        <v>1.62</v>
      </c>
      <c r="Q56" s="29">
        <v>11.42</v>
      </c>
      <c r="R56" s="29">
        <v>0.32800000000000001</v>
      </c>
      <c r="S56" s="29">
        <v>22.2</v>
      </c>
      <c r="T56" s="29">
        <v>3.44</v>
      </c>
      <c r="U56" s="29">
        <v>20.69</v>
      </c>
      <c r="V56" s="29">
        <v>0.03</v>
      </c>
      <c r="W56" s="29">
        <v>5.0000000000000001E-4</v>
      </c>
      <c r="X56" s="29">
        <v>0.05</v>
      </c>
      <c r="Y56" s="29">
        <v>0.05</v>
      </c>
      <c r="Z56" s="29">
        <v>0.1</v>
      </c>
      <c r="AA56" s="29">
        <v>100</v>
      </c>
      <c r="AB56" t="s">
        <v>105</v>
      </c>
    </row>
    <row r="57" spans="1:28">
      <c r="A57" s="30">
        <v>56</v>
      </c>
      <c r="B57" s="25" t="s">
        <v>128</v>
      </c>
      <c r="C57" s="25">
        <v>441179</v>
      </c>
      <c r="D57" s="25">
        <v>7198019</v>
      </c>
      <c r="E57" s="25"/>
      <c r="F57" s="28" t="s">
        <v>127</v>
      </c>
      <c r="G57" s="29">
        <v>1.4999999999999999E-2</v>
      </c>
      <c r="H57" s="29">
        <v>2.5000000000000001E-3</v>
      </c>
      <c r="I57" s="29">
        <v>14.6</v>
      </c>
      <c r="J57" s="29">
        <v>50.24</v>
      </c>
      <c r="K57" s="29">
        <v>0.31</v>
      </c>
      <c r="L57" s="29">
        <v>161.5</v>
      </c>
      <c r="M57" s="29">
        <v>7.82</v>
      </c>
      <c r="N57" s="29">
        <v>50.24</v>
      </c>
      <c r="O57" s="29">
        <v>5.69</v>
      </c>
      <c r="P57" s="29">
        <v>2.09</v>
      </c>
      <c r="Q57" s="29">
        <v>3.35</v>
      </c>
      <c r="R57" s="29">
        <v>11.45</v>
      </c>
      <c r="S57" s="29">
        <v>9.19</v>
      </c>
      <c r="T57" s="29">
        <v>5.69</v>
      </c>
      <c r="U57" s="29">
        <v>4.43</v>
      </c>
      <c r="V57" s="29">
        <v>0.03</v>
      </c>
      <c r="W57" s="29">
        <v>5.0000000000000001E-4</v>
      </c>
      <c r="X57" s="29">
        <v>0.05</v>
      </c>
      <c r="Y57" s="29">
        <v>0.05</v>
      </c>
      <c r="Z57" s="29">
        <v>0.1</v>
      </c>
      <c r="AA57" s="29">
        <v>0</v>
      </c>
      <c r="AB57" t="s">
        <v>31</v>
      </c>
    </row>
    <row r="58" spans="1:28">
      <c r="A58" s="30">
        <v>57</v>
      </c>
      <c r="B58" s="25" t="s">
        <v>129</v>
      </c>
      <c r="C58" s="25">
        <v>439228</v>
      </c>
      <c r="D58" s="25">
        <v>7192551</v>
      </c>
      <c r="E58" s="25"/>
      <c r="F58" s="28" t="s">
        <v>130</v>
      </c>
      <c r="G58" s="29">
        <v>12.02</v>
      </c>
      <c r="H58" s="29">
        <v>2.5000000000000001E-3</v>
      </c>
      <c r="I58" s="29">
        <v>234</v>
      </c>
      <c r="J58" s="29">
        <v>73.88</v>
      </c>
      <c r="K58" s="29">
        <v>0.38900000000000001</v>
      </c>
      <c r="L58" s="29">
        <v>843</v>
      </c>
      <c r="M58" s="29">
        <v>5.58</v>
      </c>
      <c r="N58" s="29">
        <v>73.88</v>
      </c>
      <c r="O58" s="29">
        <v>0</v>
      </c>
      <c r="P58" s="29">
        <v>18.57</v>
      </c>
      <c r="Q58" s="29">
        <v>52.25</v>
      </c>
      <c r="R58" s="29">
        <v>3.27</v>
      </c>
      <c r="S58" s="29">
        <v>48.9</v>
      </c>
      <c r="T58" s="29">
        <v>19.2</v>
      </c>
      <c r="U58" s="29">
        <v>112.35</v>
      </c>
      <c r="V58" s="29">
        <v>0.03</v>
      </c>
      <c r="W58" s="29">
        <v>5.0000000000000001E-4</v>
      </c>
      <c r="X58" s="29">
        <v>0.05</v>
      </c>
      <c r="Y58" s="29">
        <v>0.05</v>
      </c>
      <c r="Z58" s="29">
        <v>0.1</v>
      </c>
      <c r="AA58" s="29">
        <v>0</v>
      </c>
      <c r="AB58" t="s">
        <v>31</v>
      </c>
    </row>
    <row r="59" spans="1:28">
      <c r="A59" s="30">
        <v>58</v>
      </c>
      <c r="B59" s="25" t="s">
        <v>131</v>
      </c>
      <c r="C59" s="25">
        <v>441924</v>
      </c>
      <c r="D59" s="25">
        <v>7195234</v>
      </c>
      <c r="E59" s="25"/>
      <c r="F59" s="28" t="s">
        <v>130</v>
      </c>
      <c r="G59" s="29">
        <v>1.4999999999999999E-2</v>
      </c>
      <c r="H59" s="29">
        <v>2.5000000000000001E-3</v>
      </c>
      <c r="I59" s="29">
        <v>76.11</v>
      </c>
      <c r="J59" s="29">
        <v>30.15</v>
      </c>
      <c r="K59" s="29">
        <v>0.23200000000000001</v>
      </c>
      <c r="L59" s="29">
        <v>411</v>
      </c>
      <c r="M59" s="29">
        <v>6.99</v>
      </c>
      <c r="N59" s="29">
        <v>30.15</v>
      </c>
      <c r="O59" s="29">
        <v>0</v>
      </c>
      <c r="P59" s="29">
        <v>0</v>
      </c>
      <c r="Q59" s="29">
        <v>13.11</v>
      </c>
      <c r="R59" s="29">
        <v>19.62</v>
      </c>
      <c r="S59" s="29">
        <v>21.1</v>
      </c>
      <c r="T59" s="29">
        <v>15.6</v>
      </c>
      <c r="U59" s="29">
        <v>54.2</v>
      </c>
      <c r="V59" s="29">
        <v>0.03</v>
      </c>
      <c r="W59" s="29">
        <v>5.0000000000000001E-4</v>
      </c>
      <c r="X59" s="29">
        <v>0.05</v>
      </c>
      <c r="Y59" s="29">
        <v>0.05</v>
      </c>
      <c r="Z59" s="29">
        <v>0.1</v>
      </c>
      <c r="AA59" s="29">
        <v>0</v>
      </c>
      <c r="AB59" t="s">
        <v>31</v>
      </c>
    </row>
    <row r="60" spans="1:28">
      <c r="A60" s="30">
        <v>59</v>
      </c>
      <c r="B60" s="25" t="s">
        <v>132</v>
      </c>
      <c r="C60" s="25">
        <v>455983</v>
      </c>
      <c r="D60" s="25">
        <v>7205903</v>
      </c>
      <c r="E60" s="25"/>
      <c r="F60" s="28" t="s">
        <v>133</v>
      </c>
      <c r="G60" s="29">
        <v>1.4999999999999999E-2</v>
      </c>
      <c r="H60" s="29">
        <v>2.5000000000000001E-3</v>
      </c>
      <c r="I60" s="29">
        <v>11.72</v>
      </c>
      <c r="J60" s="29">
        <v>12.06</v>
      </c>
      <c r="K60" s="29">
        <v>0.23200000000000001</v>
      </c>
      <c r="L60" s="29">
        <v>77.400000000000006</v>
      </c>
      <c r="M60" s="29">
        <v>6.78</v>
      </c>
      <c r="N60" s="29">
        <v>12.06</v>
      </c>
      <c r="O60" s="29">
        <v>0</v>
      </c>
      <c r="P60" s="29">
        <v>1.38</v>
      </c>
      <c r="Q60" s="29">
        <v>2.57</v>
      </c>
      <c r="R60" s="29">
        <v>4.09</v>
      </c>
      <c r="S60" s="29">
        <v>3.33</v>
      </c>
      <c r="T60" s="29">
        <v>0.997</v>
      </c>
      <c r="U60" s="29">
        <v>6.89</v>
      </c>
      <c r="V60" s="29">
        <v>0.03</v>
      </c>
      <c r="W60" s="29">
        <v>5.0000000000000001E-4</v>
      </c>
      <c r="X60" s="29">
        <v>0.05</v>
      </c>
      <c r="Y60" s="29">
        <v>0.05</v>
      </c>
      <c r="Z60" s="29">
        <v>0.1</v>
      </c>
      <c r="AA60" s="29">
        <v>0</v>
      </c>
      <c r="AB60" t="s">
        <v>31</v>
      </c>
    </row>
    <row r="61" spans="1:28">
      <c r="A61" s="34">
        <v>60</v>
      </c>
      <c r="B61" s="35" t="s">
        <v>134</v>
      </c>
      <c r="C61" s="35">
        <v>444823</v>
      </c>
      <c r="D61" s="35">
        <v>7203560</v>
      </c>
      <c r="E61" s="35"/>
      <c r="F61" s="28" t="s">
        <v>133</v>
      </c>
      <c r="G61" s="29">
        <v>5.09</v>
      </c>
      <c r="H61" s="29">
        <v>8.3000000000000004E-2</v>
      </c>
      <c r="I61" s="29">
        <v>0.624</v>
      </c>
      <c r="J61" s="29">
        <v>135.44</v>
      </c>
      <c r="K61" s="29">
        <v>2.58</v>
      </c>
      <c r="L61" s="29">
        <v>379</v>
      </c>
      <c r="M61" s="29">
        <v>7.8</v>
      </c>
      <c r="N61" s="29">
        <v>135.44</v>
      </c>
      <c r="O61" s="29">
        <v>0</v>
      </c>
      <c r="P61" s="29">
        <v>15.3</v>
      </c>
      <c r="Q61" s="29">
        <v>15.28</v>
      </c>
      <c r="R61" s="29">
        <v>34.340000000000003</v>
      </c>
      <c r="S61" s="29">
        <v>64.5</v>
      </c>
      <c r="T61" s="29">
        <v>7.78</v>
      </c>
      <c r="U61" s="29">
        <v>34.49</v>
      </c>
      <c r="V61" s="29">
        <v>0.03</v>
      </c>
      <c r="W61" s="29">
        <v>5.0000000000000001E-4</v>
      </c>
      <c r="X61" s="29">
        <v>0.05</v>
      </c>
      <c r="Y61" s="29">
        <v>0.05</v>
      </c>
      <c r="Z61" s="29">
        <v>0.1</v>
      </c>
      <c r="AA61" s="29">
        <v>0</v>
      </c>
      <c r="AB61" t="s">
        <v>31</v>
      </c>
    </row>
    <row r="62" spans="1:28">
      <c r="A62" s="30">
        <v>61</v>
      </c>
      <c r="B62" s="25" t="s">
        <v>135</v>
      </c>
      <c r="C62" s="25">
        <v>449203</v>
      </c>
      <c r="D62" s="25">
        <v>7196477</v>
      </c>
      <c r="E62" s="27"/>
      <c r="F62" s="28" t="s">
        <v>136</v>
      </c>
      <c r="G62" s="29">
        <v>0.90200000000000002</v>
      </c>
      <c r="H62" s="29">
        <v>2.5000000000000001E-3</v>
      </c>
      <c r="I62" s="29">
        <v>129</v>
      </c>
      <c r="J62" s="29">
        <v>21.5</v>
      </c>
      <c r="K62" s="29">
        <v>0.371</v>
      </c>
      <c r="L62" s="29">
        <v>435</v>
      </c>
      <c r="M62" s="29">
        <v>6.07</v>
      </c>
      <c r="N62" s="29">
        <v>21.5</v>
      </c>
      <c r="O62" s="29">
        <v>0</v>
      </c>
      <c r="P62" s="29">
        <v>5.54</v>
      </c>
      <c r="Q62" s="29">
        <v>9.5299999999999994</v>
      </c>
      <c r="R62" s="29">
        <v>19.600000000000001</v>
      </c>
      <c r="S62" s="29">
        <v>31.5</v>
      </c>
      <c r="T62" s="29">
        <v>3.94</v>
      </c>
      <c r="U62" s="29">
        <v>31.4</v>
      </c>
      <c r="V62" s="29">
        <v>0.03</v>
      </c>
      <c r="W62" s="29">
        <v>5.0000000000000001E-4</v>
      </c>
      <c r="X62" s="29">
        <v>0.05</v>
      </c>
      <c r="Y62" s="29">
        <v>0.05</v>
      </c>
      <c r="Z62" s="29">
        <v>0.1</v>
      </c>
      <c r="AA62" s="29">
        <v>0</v>
      </c>
      <c r="AB62" t="s">
        <v>31</v>
      </c>
    </row>
    <row r="63" spans="1:28">
      <c r="A63" s="30">
        <v>62</v>
      </c>
      <c r="B63" s="25" t="s">
        <v>137</v>
      </c>
      <c r="C63" s="25">
        <v>452578</v>
      </c>
      <c r="D63" s="25">
        <v>7191977</v>
      </c>
      <c r="E63" s="27"/>
      <c r="F63" s="28" t="s">
        <v>136</v>
      </c>
      <c r="G63" s="29">
        <v>0.80300000000000005</v>
      </c>
      <c r="H63" s="29">
        <v>8.2000000000000007E-3</v>
      </c>
      <c r="I63" s="29">
        <v>77.7</v>
      </c>
      <c r="J63" s="29">
        <v>12.7</v>
      </c>
      <c r="K63" s="29">
        <v>0.14099999999999999</v>
      </c>
      <c r="L63" s="29">
        <v>295</v>
      </c>
      <c r="M63" s="29">
        <v>6.05</v>
      </c>
      <c r="N63" s="29">
        <v>12.7</v>
      </c>
      <c r="O63" s="29">
        <v>0</v>
      </c>
      <c r="P63" s="29">
        <v>5.75</v>
      </c>
      <c r="Q63" s="29">
        <v>7.2</v>
      </c>
      <c r="R63" s="29">
        <v>22.9</v>
      </c>
      <c r="S63" s="29">
        <v>8.86</v>
      </c>
      <c r="T63" s="29">
        <v>2.2000000000000002</v>
      </c>
      <c r="U63" s="29">
        <v>29.1</v>
      </c>
      <c r="V63" s="29">
        <v>0.03</v>
      </c>
      <c r="W63" s="29">
        <v>5.0000000000000001E-4</v>
      </c>
      <c r="X63" s="29">
        <v>0.05</v>
      </c>
      <c r="Y63" s="29">
        <v>0.05</v>
      </c>
      <c r="Z63" s="29">
        <v>0.1</v>
      </c>
      <c r="AA63" s="29">
        <v>0</v>
      </c>
      <c r="AB63" t="s">
        <v>31</v>
      </c>
    </row>
    <row r="64" spans="1:28">
      <c r="A64" s="30">
        <v>63</v>
      </c>
      <c r="B64" s="25" t="s">
        <v>138</v>
      </c>
      <c r="C64" s="25">
        <v>441511</v>
      </c>
      <c r="D64" s="25">
        <v>7190322</v>
      </c>
      <c r="E64" s="27"/>
      <c r="F64" s="28" t="s">
        <v>139</v>
      </c>
      <c r="G64" s="29">
        <v>1.4999999999999999E-2</v>
      </c>
      <c r="H64" s="29">
        <v>2.6199999999999999E-3</v>
      </c>
      <c r="I64" s="29">
        <v>28.8</v>
      </c>
      <c r="J64" s="29">
        <v>8.0399999999999991</v>
      </c>
      <c r="K64" s="29">
        <v>1.1299999999999999</v>
      </c>
      <c r="L64" s="29">
        <v>120</v>
      </c>
      <c r="M64" s="29">
        <v>6.17</v>
      </c>
      <c r="N64" s="29">
        <v>8.0399999999999991</v>
      </c>
      <c r="O64" s="29">
        <v>0</v>
      </c>
      <c r="P64" s="29">
        <v>2.59</v>
      </c>
      <c r="Q64" s="29">
        <v>3.37</v>
      </c>
      <c r="R64" s="29">
        <v>5.66</v>
      </c>
      <c r="S64" s="29">
        <v>1.99</v>
      </c>
      <c r="T64" s="29">
        <v>4.63</v>
      </c>
      <c r="U64" s="29">
        <v>8.3699999999999992</v>
      </c>
      <c r="V64" s="29">
        <v>0.03</v>
      </c>
      <c r="W64" s="29">
        <v>5.0000000000000001E-4</v>
      </c>
      <c r="X64" s="29">
        <v>0.05</v>
      </c>
      <c r="Y64" s="29">
        <v>0.05</v>
      </c>
      <c r="Z64" s="29">
        <v>0.1</v>
      </c>
      <c r="AA64" s="29">
        <v>0</v>
      </c>
      <c r="AB64" t="s">
        <v>31</v>
      </c>
    </row>
    <row r="65" spans="1:28">
      <c r="A65" s="30">
        <v>64</v>
      </c>
      <c r="B65" s="25" t="s">
        <v>140</v>
      </c>
      <c r="C65" s="25">
        <v>452294</v>
      </c>
      <c r="D65" s="25">
        <v>7188281</v>
      </c>
      <c r="E65" s="27"/>
      <c r="F65" s="28" t="s">
        <v>139</v>
      </c>
      <c r="G65" s="29">
        <v>1.4999999999999999E-2</v>
      </c>
      <c r="H65" s="29">
        <v>2.5000000000000001E-3</v>
      </c>
      <c r="I65" s="29">
        <v>0.251</v>
      </c>
      <c r="J65" s="29">
        <v>50.2</v>
      </c>
      <c r="K65" s="29">
        <v>4.8600000000000003</v>
      </c>
      <c r="L65" s="29">
        <v>76.2</v>
      </c>
      <c r="M65" s="29">
        <v>6.45</v>
      </c>
      <c r="N65" s="29">
        <v>50.2</v>
      </c>
      <c r="O65" s="29">
        <v>0</v>
      </c>
      <c r="P65" s="29">
        <v>3.76</v>
      </c>
      <c r="Q65" s="29">
        <v>2.37</v>
      </c>
      <c r="R65" s="29">
        <v>8.09</v>
      </c>
      <c r="S65" s="29">
        <v>6.6</v>
      </c>
      <c r="T65" s="29">
        <v>4.88</v>
      </c>
      <c r="U65" s="29">
        <v>7.01</v>
      </c>
      <c r="V65" s="29">
        <v>0.03</v>
      </c>
      <c r="W65" s="29">
        <v>5.0000000000000001E-4</v>
      </c>
      <c r="X65" s="29">
        <v>0.05</v>
      </c>
      <c r="Y65" s="29">
        <v>0.05</v>
      </c>
      <c r="Z65" s="29">
        <v>0.1</v>
      </c>
      <c r="AA65" s="29">
        <v>0</v>
      </c>
      <c r="AB65" t="s">
        <v>31</v>
      </c>
    </row>
    <row r="66" spans="1:28">
      <c r="A66" s="30">
        <v>65</v>
      </c>
      <c r="B66" s="25" t="s">
        <v>141</v>
      </c>
      <c r="C66" s="25">
        <v>445119</v>
      </c>
      <c r="D66" s="25">
        <v>7201727</v>
      </c>
      <c r="E66" s="27"/>
      <c r="F66" s="28" t="s">
        <v>142</v>
      </c>
      <c r="G66" s="29">
        <v>1.4999999999999999E-2</v>
      </c>
      <c r="H66" s="29">
        <v>2.5000000000000001E-3</v>
      </c>
      <c r="I66" s="29">
        <v>1.4E-2</v>
      </c>
      <c r="J66" s="29">
        <v>88.9</v>
      </c>
      <c r="K66" s="29">
        <v>0.36799999999999999</v>
      </c>
      <c r="L66" s="29">
        <v>279</v>
      </c>
      <c r="M66" s="29">
        <v>7.66</v>
      </c>
      <c r="N66" s="29">
        <v>88.9</v>
      </c>
      <c r="O66" s="29">
        <v>0</v>
      </c>
      <c r="P66" s="29">
        <v>2.97</v>
      </c>
      <c r="Q66" s="29">
        <v>11.4</v>
      </c>
      <c r="R66" s="29">
        <v>12.1</v>
      </c>
      <c r="S66" s="29">
        <v>27.5</v>
      </c>
      <c r="T66" s="29">
        <v>3.92</v>
      </c>
      <c r="U66" s="29">
        <v>20.2</v>
      </c>
      <c r="V66" s="29">
        <v>0.03</v>
      </c>
      <c r="W66" s="29">
        <v>5.0000000000000001E-4</v>
      </c>
      <c r="X66" s="29">
        <v>0.05</v>
      </c>
      <c r="Y66" s="29">
        <v>0.05</v>
      </c>
      <c r="Z66" s="29">
        <v>0.1</v>
      </c>
      <c r="AA66" s="29">
        <v>0</v>
      </c>
      <c r="AB66" t="s">
        <v>31</v>
      </c>
    </row>
    <row r="67" spans="1:28">
      <c r="A67" s="30">
        <v>66</v>
      </c>
      <c r="B67" s="25" t="s">
        <v>143</v>
      </c>
      <c r="C67" s="25">
        <v>440661</v>
      </c>
      <c r="D67" s="25">
        <v>7193539</v>
      </c>
      <c r="E67" s="27"/>
      <c r="F67" s="28" t="s">
        <v>144</v>
      </c>
      <c r="G67" s="29">
        <v>2.5999999999999999E-2</v>
      </c>
      <c r="H67" s="29">
        <v>2.5000000000000001E-3</v>
      </c>
      <c r="I67" s="29">
        <v>60.6</v>
      </c>
      <c r="J67" s="29">
        <v>1.5</v>
      </c>
      <c r="K67" s="29">
        <v>0.29399999999999998</v>
      </c>
      <c r="L67" s="29">
        <v>252</v>
      </c>
      <c r="M67" s="29">
        <v>6.82</v>
      </c>
      <c r="N67" s="29">
        <v>1.5</v>
      </c>
      <c r="O67" s="29">
        <v>0</v>
      </c>
      <c r="P67" s="29">
        <v>3.62</v>
      </c>
      <c r="Q67" s="29">
        <v>7.78</v>
      </c>
      <c r="R67" s="29">
        <v>15.4</v>
      </c>
      <c r="S67" s="29">
        <v>7.26</v>
      </c>
      <c r="T67" s="29">
        <v>6.2</v>
      </c>
      <c r="U67" s="29">
        <v>16.3</v>
      </c>
      <c r="V67" s="29">
        <v>0.03</v>
      </c>
      <c r="W67" s="29">
        <v>5.0000000000000001E-4</v>
      </c>
      <c r="X67" s="29">
        <v>0.05</v>
      </c>
      <c r="Y67" s="29">
        <v>0.05</v>
      </c>
      <c r="Z67" s="29">
        <v>0.1</v>
      </c>
      <c r="AA67" s="29">
        <v>18900</v>
      </c>
      <c r="AB67" t="s">
        <v>105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8"/>
  <sheetViews>
    <sheetView workbookViewId="0">
      <pane ySplit="2" topLeftCell="A3" activePane="bottomLeft" state="frozen"/>
      <selection pane="bottomLeft" activeCell="H8" sqref="H8"/>
    </sheetView>
  </sheetViews>
  <sheetFormatPr baseColWidth="10" defaultColWidth="11.42578125" defaultRowHeight="15"/>
  <cols>
    <col min="1" max="1" width="6.28515625" style="2" customWidth="1"/>
    <col min="2" max="2" width="31.42578125" style="2" customWidth="1"/>
    <col min="3" max="3" width="7" style="2" customWidth="1"/>
    <col min="4" max="4" width="8" style="2" customWidth="1"/>
    <col min="5" max="5" width="14.5703125" style="3" customWidth="1"/>
    <col min="6" max="6" width="13" style="4" customWidth="1"/>
    <col min="7" max="7" width="11" style="4" customWidth="1"/>
    <col min="8" max="8" width="9.85546875" style="4" customWidth="1"/>
    <col min="9" max="9" width="16.140625" style="4" customWidth="1"/>
    <col min="10" max="10" width="15.85546875" style="4" customWidth="1"/>
    <col min="11" max="11" width="15" style="4" customWidth="1"/>
    <col min="12" max="13" width="11.42578125" style="4"/>
    <col min="14" max="14" width="9.5703125" style="4" customWidth="1"/>
    <col min="15" max="15" width="10.140625" style="4" customWidth="1"/>
    <col min="16" max="16" width="11.7109375" style="4" customWidth="1"/>
    <col min="17" max="17" width="13" style="4" customWidth="1"/>
    <col min="18" max="18" width="9" style="4" customWidth="1"/>
    <col min="19" max="19" width="10.7109375" style="4" customWidth="1"/>
    <col min="20" max="20" width="9.140625" style="4" customWidth="1"/>
    <col min="21" max="22" width="8.85546875" style="4" customWidth="1"/>
    <col min="23" max="23" width="12.42578125" style="4" customWidth="1"/>
    <col min="24" max="24" width="8.85546875" style="4" customWidth="1"/>
    <col min="25" max="25" width="11.7109375" style="4" customWidth="1"/>
    <col min="26" max="26" width="15.140625" style="4" customWidth="1"/>
    <col min="27" max="16384" width="11.42578125" style="4"/>
  </cols>
  <sheetData>
    <row r="1" spans="1:26" s="1" customFormat="1" ht="24.75" customHeight="1">
      <c r="A1" s="5" t="s">
        <v>145</v>
      </c>
      <c r="B1" s="6"/>
      <c r="C1" s="6"/>
      <c r="D1" s="6"/>
      <c r="E1" s="7"/>
    </row>
    <row r="2" spans="1:26">
      <c r="A2" s="8" t="s">
        <v>146</v>
      </c>
      <c r="B2" s="8" t="s">
        <v>147</v>
      </c>
      <c r="C2" s="8" t="s">
        <v>2</v>
      </c>
      <c r="D2" s="8" t="s">
        <v>3</v>
      </c>
      <c r="E2" s="9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10" t="s">
        <v>148</v>
      </c>
    </row>
    <row r="3" spans="1:26">
      <c r="A3" s="11" t="s">
        <v>28</v>
      </c>
      <c r="B3" s="11" t="s">
        <v>29</v>
      </c>
      <c r="C3" s="11">
        <v>444842.95221691398</v>
      </c>
      <c r="D3" s="11">
        <v>7196078.4985242803</v>
      </c>
      <c r="E3" s="12" t="s">
        <v>30</v>
      </c>
      <c r="F3" s="13">
        <v>1.9099999999999999E-2</v>
      </c>
      <c r="G3" s="13">
        <v>4.0000000000000001E-3</v>
      </c>
      <c r="H3" s="13"/>
      <c r="I3" s="13">
        <v>8.86</v>
      </c>
      <c r="J3" s="13">
        <v>8.0000000000000002E-3</v>
      </c>
      <c r="K3" s="13">
        <v>383</v>
      </c>
      <c r="L3" s="13">
        <v>5.7</v>
      </c>
      <c r="M3" s="14">
        <v>8.86</v>
      </c>
      <c r="N3" s="13">
        <v>0</v>
      </c>
      <c r="O3" s="13">
        <v>8.31</v>
      </c>
      <c r="P3" s="13">
        <v>13.37</v>
      </c>
      <c r="Q3" s="13">
        <v>13.62</v>
      </c>
      <c r="R3" s="13">
        <v>12</v>
      </c>
      <c r="S3" s="13">
        <v>7.55</v>
      </c>
      <c r="T3" s="14">
        <v>26.74</v>
      </c>
      <c r="U3" s="13">
        <v>0.03</v>
      </c>
      <c r="V3" s="13">
        <v>5.0000000000000001E-4</v>
      </c>
      <c r="W3" s="13">
        <v>0.05</v>
      </c>
      <c r="X3" s="13">
        <v>0.05</v>
      </c>
      <c r="Y3" s="13">
        <v>0.1</v>
      </c>
      <c r="Z3" s="13">
        <v>0</v>
      </c>
    </row>
    <row r="4" spans="1:26">
      <c r="A4" s="11" t="s">
        <v>32</v>
      </c>
      <c r="B4" s="11" t="s">
        <v>33</v>
      </c>
      <c r="C4" s="11">
        <v>443455.389531722</v>
      </c>
      <c r="D4" s="11">
        <v>7194145.98973021</v>
      </c>
      <c r="E4" s="12" t="s">
        <v>30</v>
      </c>
      <c r="F4" s="13">
        <v>4.33</v>
      </c>
      <c r="G4" s="13">
        <v>1.2800000000000001E-2</v>
      </c>
      <c r="H4" s="13"/>
      <c r="I4" s="13">
        <v>50.73</v>
      </c>
      <c r="J4" s="13">
        <v>8.0000000000000002E-3</v>
      </c>
      <c r="K4" s="13">
        <v>467</v>
      </c>
      <c r="L4" s="13">
        <v>5.97</v>
      </c>
      <c r="M4" s="14">
        <v>50.73</v>
      </c>
      <c r="N4" s="13">
        <v>0</v>
      </c>
      <c r="O4" s="13">
        <v>11.11</v>
      </c>
      <c r="P4" s="13">
        <v>16.440000000000001</v>
      </c>
      <c r="Q4" s="13">
        <v>22.84</v>
      </c>
      <c r="R4" s="13">
        <v>20.2</v>
      </c>
      <c r="S4" s="13">
        <v>12.8</v>
      </c>
      <c r="T4" s="14">
        <v>33.49</v>
      </c>
      <c r="U4" s="13">
        <v>0.03</v>
      </c>
      <c r="V4" s="13">
        <v>5.0000000000000001E-4</v>
      </c>
      <c r="W4" s="13">
        <v>0.05</v>
      </c>
      <c r="X4" s="13">
        <v>0.05</v>
      </c>
      <c r="Y4" s="13">
        <v>0.1</v>
      </c>
      <c r="Z4" s="13">
        <v>0</v>
      </c>
    </row>
    <row r="5" spans="1:26">
      <c r="A5" s="11" t="s">
        <v>34</v>
      </c>
      <c r="B5" s="11" t="s">
        <v>35</v>
      </c>
      <c r="C5" s="11">
        <v>444579.14565070701</v>
      </c>
      <c r="D5" s="11">
        <v>7190698.6950686704</v>
      </c>
      <c r="E5" s="12" t="s">
        <v>30</v>
      </c>
      <c r="F5" s="13">
        <v>1.4999999999999999E-2</v>
      </c>
      <c r="G5" s="13">
        <v>2.5000000000000001E-3</v>
      </c>
      <c r="H5" s="13"/>
      <c r="I5" s="13">
        <v>10.83</v>
      </c>
      <c r="J5" s="13">
        <v>8.0000000000000002E-3</v>
      </c>
      <c r="K5" s="13">
        <v>103.4</v>
      </c>
      <c r="L5" s="13">
        <v>5.5</v>
      </c>
      <c r="M5" s="14">
        <v>10.83</v>
      </c>
      <c r="N5" s="13">
        <v>0</v>
      </c>
      <c r="O5" s="13">
        <v>4.95</v>
      </c>
      <c r="P5" s="13">
        <v>4.99</v>
      </c>
      <c r="Q5" s="13">
        <v>5.72</v>
      </c>
      <c r="R5" s="13">
        <v>4.12</v>
      </c>
      <c r="S5" s="13">
        <v>4.71</v>
      </c>
      <c r="T5" s="14">
        <v>8.49</v>
      </c>
      <c r="U5" s="13">
        <v>0.03</v>
      </c>
      <c r="V5" s="13">
        <v>5.0000000000000001E-4</v>
      </c>
      <c r="W5" s="13">
        <v>0.05</v>
      </c>
      <c r="X5" s="13">
        <v>0.05</v>
      </c>
      <c r="Y5" s="13">
        <v>0.1</v>
      </c>
      <c r="Z5" s="13">
        <v>0</v>
      </c>
    </row>
    <row r="6" spans="1:26">
      <c r="A6" s="11" t="s">
        <v>36</v>
      </c>
      <c r="B6" s="11" t="s">
        <v>37</v>
      </c>
      <c r="C6" s="11">
        <v>443481.385044</v>
      </c>
      <c r="D6" s="11">
        <v>7188683.5256539499</v>
      </c>
      <c r="E6" s="12" t="s">
        <v>30</v>
      </c>
      <c r="F6" s="13">
        <v>2.9499999999999998E-2</v>
      </c>
      <c r="G6" s="13">
        <v>4.0000000000000001E-3</v>
      </c>
      <c r="H6" s="13"/>
      <c r="I6" s="13">
        <v>9.85</v>
      </c>
      <c r="J6" s="13">
        <v>8.0000000000000002E-3</v>
      </c>
      <c r="K6" s="13">
        <v>220</v>
      </c>
      <c r="L6" s="13">
        <v>5.21</v>
      </c>
      <c r="M6" s="14">
        <v>9.85</v>
      </c>
      <c r="N6" s="13">
        <v>0</v>
      </c>
      <c r="O6" s="13">
        <v>5.74</v>
      </c>
      <c r="P6" s="13">
        <v>4.59</v>
      </c>
      <c r="Q6" s="13">
        <v>11.22</v>
      </c>
      <c r="R6" s="13">
        <v>13.7</v>
      </c>
      <c r="S6" s="13">
        <v>6.05</v>
      </c>
      <c r="T6" s="14">
        <v>23.49</v>
      </c>
      <c r="U6" s="13">
        <v>0.03</v>
      </c>
      <c r="V6" s="13">
        <v>5.0000000000000001E-4</v>
      </c>
      <c r="W6" s="13">
        <v>0.05</v>
      </c>
      <c r="X6" s="13">
        <v>0.05</v>
      </c>
      <c r="Y6" s="13">
        <v>0.1</v>
      </c>
      <c r="Z6" s="13">
        <v>0</v>
      </c>
    </row>
    <row r="7" spans="1:26">
      <c r="A7" s="11" t="s">
        <v>38</v>
      </c>
      <c r="B7" s="11" t="s">
        <v>39</v>
      </c>
      <c r="C7" s="11">
        <v>442183.274792829</v>
      </c>
      <c r="D7" s="11">
        <v>7189534.0206819996</v>
      </c>
      <c r="E7" s="12" t="s">
        <v>30</v>
      </c>
      <c r="F7" s="13">
        <v>1.4999999999999999E-2</v>
      </c>
      <c r="G7" s="13">
        <v>2.5000000000000001E-3</v>
      </c>
      <c r="H7" s="13"/>
      <c r="I7" s="13">
        <v>29.6</v>
      </c>
      <c r="J7" s="13">
        <v>8.0000000000000002E-3</v>
      </c>
      <c r="K7" s="13">
        <v>99.6</v>
      </c>
      <c r="L7" s="13">
        <v>5.87</v>
      </c>
      <c r="M7" s="14">
        <v>29.6</v>
      </c>
      <c r="N7" s="13">
        <v>0</v>
      </c>
      <c r="O7" s="13">
        <v>3.87</v>
      </c>
      <c r="P7" s="13">
        <v>4.12</v>
      </c>
      <c r="Q7" s="13">
        <v>6.13</v>
      </c>
      <c r="R7" s="13">
        <v>5.64</v>
      </c>
      <c r="S7" s="13">
        <v>2.75</v>
      </c>
      <c r="T7" s="14">
        <v>4.49</v>
      </c>
      <c r="U7" s="13">
        <v>0.03</v>
      </c>
      <c r="V7" s="13">
        <v>5.0000000000000001E-4</v>
      </c>
      <c r="W7" s="13">
        <v>0.05</v>
      </c>
      <c r="X7" s="13">
        <v>0.05</v>
      </c>
      <c r="Y7" s="13">
        <v>0.1</v>
      </c>
      <c r="Z7" s="13">
        <v>0</v>
      </c>
    </row>
    <row r="8" spans="1:26">
      <c r="A8" s="11" t="s">
        <v>40</v>
      </c>
      <c r="B8" s="11" t="s">
        <v>41</v>
      </c>
      <c r="C8" s="11">
        <v>441266.990751907</v>
      </c>
      <c r="D8" s="11">
        <v>7196541.9913700102</v>
      </c>
      <c r="E8" s="12" t="s">
        <v>42</v>
      </c>
      <c r="F8" s="13">
        <v>1.4999999999999999E-2</v>
      </c>
      <c r="G8" s="13">
        <v>2.5000000000000001E-3</v>
      </c>
      <c r="H8" s="13"/>
      <c r="I8" s="13">
        <v>21.67</v>
      </c>
      <c r="J8" s="13">
        <v>0.16719999999999999</v>
      </c>
      <c r="K8" s="13">
        <v>287</v>
      </c>
      <c r="L8" s="13">
        <v>6.32</v>
      </c>
      <c r="M8" s="14">
        <v>21.67</v>
      </c>
      <c r="N8" s="13">
        <v>0</v>
      </c>
      <c r="O8" s="13">
        <v>6.06</v>
      </c>
      <c r="P8" s="13">
        <v>18.77</v>
      </c>
      <c r="Q8" s="13">
        <v>30.86</v>
      </c>
      <c r="R8" s="13">
        <v>18.3</v>
      </c>
      <c r="S8" s="13">
        <v>17</v>
      </c>
      <c r="T8" s="14">
        <v>43.99</v>
      </c>
      <c r="U8" s="13">
        <v>0.03</v>
      </c>
      <c r="V8" s="13">
        <v>5.0000000000000001E-4</v>
      </c>
      <c r="W8" s="13">
        <v>0.05</v>
      </c>
      <c r="X8" s="13">
        <v>0.05</v>
      </c>
      <c r="Y8" s="13">
        <v>0.1</v>
      </c>
      <c r="Z8" s="13">
        <v>0</v>
      </c>
    </row>
    <row r="9" spans="1:26">
      <c r="A9" s="11" t="s">
        <v>43</v>
      </c>
      <c r="B9" s="11" t="s">
        <v>44</v>
      </c>
      <c r="C9" s="11">
        <v>438326.162187965</v>
      </c>
      <c r="D9" s="11">
        <v>7197708.6692366097</v>
      </c>
      <c r="E9" s="12" t="s">
        <v>42</v>
      </c>
      <c r="F9" s="13">
        <v>1.4999999999999999E-2</v>
      </c>
      <c r="G9" s="13">
        <v>2.5000000000000001E-3</v>
      </c>
      <c r="H9" s="13"/>
      <c r="I9" s="13">
        <v>15.27</v>
      </c>
      <c r="J9" s="13">
        <v>0.57899999999999996</v>
      </c>
      <c r="K9" s="13">
        <v>243</v>
      </c>
      <c r="L9" s="13">
        <v>6.33</v>
      </c>
      <c r="M9" s="14">
        <v>15.27</v>
      </c>
      <c r="N9" s="13">
        <v>0</v>
      </c>
      <c r="O9" s="13">
        <v>1.98</v>
      </c>
      <c r="P9" s="13">
        <v>8.8000000000000007</v>
      </c>
      <c r="Q9" s="13">
        <v>13.23</v>
      </c>
      <c r="R9" s="13">
        <v>7.32</v>
      </c>
      <c r="S9" s="13">
        <v>8.98</v>
      </c>
      <c r="T9" s="14">
        <v>16.489999999999998</v>
      </c>
      <c r="U9" s="13">
        <v>0.03</v>
      </c>
      <c r="V9" s="13">
        <v>5.0000000000000001E-4</v>
      </c>
      <c r="W9" s="13">
        <v>0.05</v>
      </c>
      <c r="X9" s="13">
        <v>0.05</v>
      </c>
      <c r="Y9" s="13">
        <v>0.1</v>
      </c>
      <c r="Z9" s="13">
        <v>0</v>
      </c>
    </row>
    <row r="10" spans="1:26">
      <c r="A10" s="11" t="s">
        <v>45</v>
      </c>
      <c r="B10" s="11" t="s">
        <v>46</v>
      </c>
      <c r="C10" s="11">
        <v>438999.25979913498</v>
      </c>
      <c r="D10" s="11">
        <v>7195348.8742926596</v>
      </c>
      <c r="E10" s="12" t="s">
        <v>42</v>
      </c>
      <c r="F10" s="13">
        <v>1.4999999999999999E-2</v>
      </c>
      <c r="G10" s="13">
        <v>2.5000000000000001E-3</v>
      </c>
      <c r="H10" s="13"/>
      <c r="I10" s="13">
        <v>16.75</v>
      </c>
      <c r="J10" s="13">
        <v>1.0740000000000001</v>
      </c>
      <c r="K10" s="13">
        <v>258</v>
      </c>
      <c r="L10" s="13">
        <v>6.9</v>
      </c>
      <c r="M10" s="14">
        <v>16.75</v>
      </c>
      <c r="N10" s="13">
        <v>0</v>
      </c>
      <c r="O10" s="13">
        <v>3.49</v>
      </c>
      <c r="P10" s="13">
        <v>10.72</v>
      </c>
      <c r="Q10" s="13">
        <v>14.03</v>
      </c>
      <c r="R10" s="13">
        <v>11.6</v>
      </c>
      <c r="S10" s="13">
        <v>8.26</v>
      </c>
      <c r="T10" s="14">
        <v>22.49</v>
      </c>
      <c r="U10" s="13">
        <v>0.03</v>
      </c>
      <c r="V10" s="13">
        <v>5.0000000000000001E-4</v>
      </c>
      <c r="W10" s="13">
        <v>0.05</v>
      </c>
      <c r="X10" s="13">
        <v>0.05</v>
      </c>
      <c r="Y10" s="13">
        <v>0.1</v>
      </c>
      <c r="Z10" s="13">
        <v>0</v>
      </c>
    </row>
    <row r="11" spans="1:26">
      <c r="A11" s="11" t="s">
        <v>47</v>
      </c>
      <c r="B11" s="11" t="s">
        <v>48</v>
      </c>
      <c r="C11" s="11">
        <v>439608.02063549799</v>
      </c>
      <c r="D11" s="11">
        <v>7192838.3704788303</v>
      </c>
      <c r="E11" s="12" t="s">
        <v>42</v>
      </c>
      <c r="F11" s="13">
        <v>1.4999999999999999E-2</v>
      </c>
      <c r="G11" s="13">
        <v>2.5000000000000001E-3</v>
      </c>
      <c r="H11" s="13"/>
      <c r="I11" s="13">
        <v>10.83</v>
      </c>
      <c r="J11" s="13">
        <v>0.74399999999999999</v>
      </c>
      <c r="K11" s="13">
        <v>185</v>
      </c>
      <c r="L11" s="13">
        <v>5.99</v>
      </c>
      <c r="M11" s="14">
        <v>10.83</v>
      </c>
      <c r="N11" s="13">
        <v>0</v>
      </c>
      <c r="O11" s="13">
        <v>6.38</v>
      </c>
      <c r="P11" s="13">
        <v>5.83</v>
      </c>
      <c r="Q11" s="13">
        <v>7.62</v>
      </c>
      <c r="R11" s="13">
        <v>20.2</v>
      </c>
      <c r="S11" s="13">
        <v>7.48</v>
      </c>
      <c r="T11" s="14">
        <v>13.99</v>
      </c>
      <c r="U11" s="13">
        <v>0.03</v>
      </c>
      <c r="V11" s="13">
        <v>5.0000000000000001E-4</v>
      </c>
      <c r="W11" s="13">
        <v>0.05</v>
      </c>
      <c r="X11" s="13">
        <v>0.05</v>
      </c>
      <c r="Y11" s="13">
        <v>0.1</v>
      </c>
      <c r="Z11" s="13">
        <v>0</v>
      </c>
    </row>
    <row r="12" spans="1:26">
      <c r="A12" s="11" t="s">
        <v>49</v>
      </c>
      <c r="B12" s="11" t="s">
        <v>50</v>
      </c>
      <c r="C12" s="11">
        <v>441965.03850705101</v>
      </c>
      <c r="D12" s="11">
        <v>7193513.6316437302</v>
      </c>
      <c r="E12" s="12" t="s">
        <v>42</v>
      </c>
      <c r="F12" s="13">
        <v>1.4999999999999999E-2</v>
      </c>
      <c r="G12" s="13">
        <v>2.5000000000000001E-3</v>
      </c>
      <c r="H12" s="14">
        <v>35.5</v>
      </c>
      <c r="I12" s="13">
        <v>6.89</v>
      </c>
      <c r="J12" s="13">
        <v>0.82599999999999996</v>
      </c>
      <c r="K12" s="13">
        <v>134</v>
      </c>
      <c r="L12" s="13">
        <v>5.82</v>
      </c>
      <c r="M12" s="14">
        <v>6.89</v>
      </c>
      <c r="N12" s="13">
        <v>0</v>
      </c>
      <c r="O12" s="13">
        <v>2.69</v>
      </c>
      <c r="P12" s="13">
        <v>3.86</v>
      </c>
      <c r="Q12" s="13">
        <v>8.17</v>
      </c>
      <c r="R12" s="13">
        <v>4.3099999999999996</v>
      </c>
      <c r="S12" s="13">
        <v>7.2</v>
      </c>
      <c r="T12" s="14">
        <v>10.49</v>
      </c>
      <c r="U12" s="13">
        <v>0.03</v>
      </c>
      <c r="V12" s="13">
        <v>5.0000000000000001E-4</v>
      </c>
      <c r="W12" s="13">
        <v>0.05</v>
      </c>
      <c r="X12" s="13">
        <v>0.05</v>
      </c>
      <c r="Y12" s="13">
        <v>0.1</v>
      </c>
      <c r="Z12" s="13">
        <v>0</v>
      </c>
    </row>
    <row r="13" spans="1:26">
      <c r="A13" s="11" t="s">
        <v>51</v>
      </c>
      <c r="B13" s="11" t="s">
        <v>52</v>
      </c>
      <c r="C13" s="11">
        <v>447934.30652502202</v>
      </c>
      <c r="D13" s="11">
        <v>7193156.2352255704</v>
      </c>
      <c r="E13" s="12" t="s">
        <v>53</v>
      </c>
      <c r="F13" s="13">
        <v>1.4999999999999999E-2</v>
      </c>
      <c r="G13" s="13">
        <v>2.5000000000000001E-3</v>
      </c>
      <c r="H13" s="14">
        <v>22.7</v>
      </c>
      <c r="I13" s="13">
        <v>9.85</v>
      </c>
      <c r="J13" s="13">
        <v>0.84799999999999998</v>
      </c>
      <c r="K13" s="13">
        <v>157</v>
      </c>
      <c r="L13" s="13">
        <v>5.9</v>
      </c>
      <c r="M13" s="14">
        <v>9.85</v>
      </c>
      <c r="N13" s="13">
        <v>0</v>
      </c>
      <c r="O13" s="13">
        <v>9.61</v>
      </c>
      <c r="P13" s="13">
        <v>5.33</v>
      </c>
      <c r="Q13" s="13">
        <v>8.99</v>
      </c>
      <c r="R13" s="13">
        <v>7.94</v>
      </c>
      <c r="S13" s="13">
        <v>4.96</v>
      </c>
      <c r="T13" s="13">
        <v>15.49</v>
      </c>
      <c r="U13" s="13">
        <v>0.03</v>
      </c>
      <c r="V13" s="13">
        <v>5.0000000000000001E-4</v>
      </c>
      <c r="W13" s="13">
        <v>0.05</v>
      </c>
      <c r="X13" s="13">
        <v>0.05</v>
      </c>
      <c r="Y13" s="13">
        <v>0.1</v>
      </c>
      <c r="Z13" s="13">
        <v>0</v>
      </c>
    </row>
    <row r="14" spans="1:26">
      <c r="A14" s="11" t="s">
        <v>54</v>
      </c>
      <c r="B14" s="11" t="s">
        <v>55</v>
      </c>
      <c r="C14" s="11">
        <v>448739.471383881</v>
      </c>
      <c r="D14" s="11">
        <v>7194862.9294934599</v>
      </c>
      <c r="E14" s="12" t="s">
        <v>53</v>
      </c>
      <c r="F14" s="13">
        <v>1.4999999999999999E-2</v>
      </c>
      <c r="G14" s="13">
        <v>2.5000000000000001E-3</v>
      </c>
      <c r="H14" s="13">
        <v>119.8</v>
      </c>
      <c r="I14" s="13">
        <v>16.739999999999998</v>
      </c>
      <c r="J14" s="13">
        <v>0.57899999999999996</v>
      </c>
      <c r="K14" s="13">
        <v>243</v>
      </c>
      <c r="L14" s="13">
        <v>5.6</v>
      </c>
      <c r="M14" s="14">
        <v>16.739999999999998</v>
      </c>
      <c r="N14" s="13">
        <v>0</v>
      </c>
      <c r="O14" s="13">
        <v>4.74</v>
      </c>
      <c r="P14" s="13">
        <v>10.72</v>
      </c>
      <c r="Q14" s="13">
        <v>11.04</v>
      </c>
      <c r="R14" s="13">
        <v>11.5</v>
      </c>
      <c r="S14" s="13">
        <v>4.28</v>
      </c>
      <c r="T14" s="13">
        <v>23.99</v>
      </c>
      <c r="U14" s="13">
        <v>0.03</v>
      </c>
      <c r="V14" s="13">
        <v>5.0000000000000001E-4</v>
      </c>
      <c r="W14" s="13">
        <v>0.05</v>
      </c>
      <c r="X14" s="13">
        <v>0.05</v>
      </c>
      <c r="Y14" s="13">
        <v>0.1</v>
      </c>
      <c r="Z14" s="13">
        <v>0</v>
      </c>
    </row>
    <row r="15" spans="1:26">
      <c r="A15" s="11" t="s">
        <v>56</v>
      </c>
      <c r="B15" s="11" t="s">
        <v>57</v>
      </c>
      <c r="C15" s="11">
        <v>448578.13293609099</v>
      </c>
      <c r="D15" s="11">
        <v>7201047.3634020304</v>
      </c>
      <c r="E15" s="12" t="s">
        <v>53</v>
      </c>
      <c r="F15" s="13">
        <v>8.8400000000000006E-2</v>
      </c>
      <c r="G15" s="13">
        <v>4.7999999999999996E-3</v>
      </c>
      <c r="H15" s="13">
        <v>68.099999999999994</v>
      </c>
      <c r="I15" s="13">
        <v>10.784000000000001</v>
      </c>
      <c r="J15" s="13">
        <v>0.66100000000000003</v>
      </c>
      <c r="K15" s="13">
        <v>327</v>
      </c>
      <c r="L15" s="13">
        <v>5.56</v>
      </c>
      <c r="M15" s="14">
        <v>10.784000000000001</v>
      </c>
      <c r="N15" s="13">
        <v>0</v>
      </c>
      <c r="O15" s="13">
        <v>5.7</v>
      </c>
      <c r="P15" s="13">
        <v>15.52</v>
      </c>
      <c r="Q15" s="13">
        <v>14.83</v>
      </c>
      <c r="R15" s="13">
        <v>19.8</v>
      </c>
      <c r="S15" s="13">
        <v>2.4700000000000002</v>
      </c>
      <c r="T15" s="13">
        <v>46.48</v>
      </c>
      <c r="U15" s="13">
        <v>0.03</v>
      </c>
      <c r="V15" s="13">
        <v>5.0000000000000001E-4</v>
      </c>
      <c r="W15" s="13">
        <v>0.05</v>
      </c>
      <c r="X15" s="13">
        <v>0.05</v>
      </c>
      <c r="Y15" s="13">
        <v>0.1</v>
      </c>
      <c r="Z15" s="13">
        <v>0</v>
      </c>
    </row>
    <row r="16" spans="1:26">
      <c r="A16" s="11" t="s">
        <v>58</v>
      </c>
      <c r="B16" s="11" t="s">
        <v>59</v>
      </c>
      <c r="C16" s="11">
        <v>447233.365937169</v>
      </c>
      <c r="D16" s="11">
        <v>7201180.9255092703</v>
      </c>
      <c r="E16" s="12" t="s">
        <v>53</v>
      </c>
      <c r="F16" s="13">
        <v>2.7099999999999999E-2</v>
      </c>
      <c r="G16" s="13">
        <v>2.5000000000000001E-3</v>
      </c>
      <c r="H16" s="13">
        <v>96.4</v>
      </c>
      <c r="I16" s="13">
        <v>18.52</v>
      </c>
      <c r="J16" s="13">
        <v>8.0000000000000002E-3</v>
      </c>
      <c r="K16" s="13">
        <v>372</v>
      </c>
      <c r="L16" s="13">
        <v>5.68</v>
      </c>
      <c r="M16" s="14">
        <v>18.52</v>
      </c>
      <c r="N16" s="13">
        <v>0</v>
      </c>
      <c r="O16" s="13">
        <v>11.69</v>
      </c>
      <c r="P16" s="13">
        <v>18.170000000000002</v>
      </c>
      <c r="Q16" s="13">
        <v>20.04</v>
      </c>
      <c r="R16" s="13">
        <v>17.600000000000001</v>
      </c>
      <c r="S16" s="13">
        <v>2.34</v>
      </c>
      <c r="T16" s="13">
        <v>41.49</v>
      </c>
      <c r="U16" s="13">
        <v>0.03</v>
      </c>
      <c r="V16" s="13">
        <v>5.0000000000000001E-4</v>
      </c>
      <c r="W16" s="13">
        <v>0.05</v>
      </c>
      <c r="X16" s="13">
        <v>0.05</v>
      </c>
      <c r="Y16" s="13">
        <v>0.1</v>
      </c>
      <c r="Z16" s="13">
        <v>0</v>
      </c>
    </row>
    <row r="17" spans="1:26">
      <c r="A17" s="11" t="s">
        <v>60</v>
      </c>
      <c r="B17" s="11" t="s">
        <v>61</v>
      </c>
      <c r="C17" s="11">
        <v>446833.08093481697</v>
      </c>
      <c r="D17" s="11">
        <v>7192118.1779629998</v>
      </c>
      <c r="E17" s="12" t="s">
        <v>62</v>
      </c>
      <c r="F17" s="13">
        <v>1.4999999999999999E-2</v>
      </c>
      <c r="G17" s="13">
        <v>2.5000000000000001E-3</v>
      </c>
      <c r="H17" s="13">
        <v>30.3</v>
      </c>
      <c r="I17" s="13">
        <v>9.85</v>
      </c>
      <c r="J17" s="13">
        <v>0.126</v>
      </c>
      <c r="K17" s="13">
        <v>119</v>
      </c>
      <c r="L17" s="13">
        <v>5.65</v>
      </c>
      <c r="M17" s="14">
        <v>9.85</v>
      </c>
      <c r="N17" s="13">
        <v>0</v>
      </c>
      <c r="O17" s="13">
        <v>3.35</v>
      </c>
      <c r="P17" s="13">
        <v>2.6</v>
      </c>
      <c r="Q17" s="13">
        <v>6.41</v>
      </c>
      <c r="R17" s="13">
        <v>4.09</v>
      </c>
      <c r="S17" s="13">
        <v>4.1399999999999997</v>
      </c>
      <c r="T17" s="13">
        <v>4.49</v>
      </c>
      <c r="U17" s="13">
        <v>0.03</v>
      </c>
      <c r="V17" s="13">
        <v>5.0000000000000001E-4</v>
      </c>
      <c r="W17" s="13">
        <v>0.05</v>
      </c>
      <c r="X17" s="13">
        <v>0.05</v>
      </c>
      <c r="Y17" s="13">
        <v>0.1</v>
      </c>
      <c r="Z17" s="13">
        <v>0</v>
      </c>
    </row>
    <row r="18" spans="1:26">
      <c r="A18" s="11" t="s">
        <v>63</v>
      </c>
      <c r="B18" s="11" t="s">
        <v>64</v>
      </c>
      <c r="C18" s="11">
        <v>444578.39937861101</v>
      </c>
      <c r="D18" s="11">
        <v>7193588.21788071</v>
      </c>
      <c r="E18" s="12" t="s">
        <v>62</v>
      </c>
      <c r="F18" s="13">
        <v>9.0800000000000006E-2</v>
      </c>
      <c r="G18" s="13">
        <v>4.1000000000000003E-3</v>
      </c>
      <c r="H18" s="13">
        <v>163.9</v>
      </c>
      <c r="I18" s="13">
        <v>4.93</v>
      </c>
      <c r="J18" s="13">
        <v>8.5000000000000006E-2</v>
      </c>
      <c r="K18" s="13">
        <v>293</v>
      </c>
      <c r="L18" s="13">
        <v>5.12</v>
      </c>
      <c r="M18" s="14">
        <v>4.93</v>
      </c>
      <c r="N18" s="13">
        <v>0</v>
      </c>
      <c r="O18" s="13">
        <v>1.91</v>
      </c>
      <c r="P18" s="13">
        <v>12.43</v>
      </c>
      <c r="Q18" s="13">
        <v>12.26</v>
      </c>
      <c r="R18" s="13">
        <v>15.1</v>
      </c>
      <c r="S18" s="13">
        <v>4.92</v>
      </c>
      <c r="T18" s="13">
        <v>22.49</v>
      </c>
      <c r="U18" s="13">
        <v>0.03</v>
      </c>
      <c r="V18" s="13">
        <v>5.0000000000000001E-4</v>
      </c>
      <c r="W18" s="13">
        <v>0.05</v>
      </c>
      <c r="X18" s="13">
        <v>0.05</v>
      </c>
      <c r="Y18" s="13">
        <v>0.1</v>
      </c>
      <c r="Z18" s="13">
        <v>0</v>
      </c>
    </row>
    <row r="19" spans="1:26">
      <c r="A19" s="11" t="s">
        <v>65</v>
      </c>
      <c r="B19" s="11" t="s">
        <v>66</v>
      </c>
      <c r="C19" s="11">
        <v>452318.388472786</v>
      </c>
      <c r="D19" s="11">
        <v>7193154.6645636298</v>
      </c>
      <c r="E19" s="12" t="s">
        <v>62</v>
      </c>
      <c r="F19" s="13">
        <v>1.4999999999999999E-2</v>
      </c>
      <c r="G19" s="13">
        <v>2.5000000000000001E-3</v>
      </c>
      <c r="H19" s="13">
        <v>19.399999999999999</v>
      </c>
      <c r="I19" s="13">
        <v>14.78</v>
      </c>
      <c r="J19" s="13">
        <v>8.5000000000000006E-2</v>
      </c>
      <c r="K19" s="13">
        <v>114</v>
      </c>
      <c r="L19" s="13">
        <v>5.48</v>
      </c>
      <c r="M19" s="14">
        <v>14.78</v>
      </c>
      <c r="N19" s="13">
        <v>0</v>
      </c>
      <c r="O19" s="13">
        <v>4.28</v>
      </c>
      <c r="P19" s="13">
        <v>2.66</v>
      </c>
      <c r="Q19" s="13">
        <v>4.49</v>
      </c>
      <c r="R19" s="13">
        <v>3.72</v>
      </c>
      <c r="S19" s="13">
        <v>1.79</v>
      </c>
      <c r="T19" s="13">
        <v>4.49</v>
      </c>
      <c r="U19" s="13">
        <v>0.03</v>
      </c>
      <c r="V19" s="13">
        <v>5.0000000000000001E-4</v>
      </c>
      <c r="W19" s="13">
        <v>0.05</v>
      </c>
      <c r="X19" s="13">
        <v>0.05</v>
      </c>
      <c r="Y19" s="13">
        <v>0.1</v>
      </c>
      <c r="Z19" s="13">
        <v>0</v>
      </c>
    </row>
    <row r="20" spans="1:26">
      <c r="A20" s="11" t="s">
        <v>67</v>
      </c>
      <c r="B20" s="11" t="s">
        <v>68</v>
      </c>
      <c r="C20" s="11">
        <v>458724.52829905902</v>
      </c>
      <c r="D20" s="11">
        <v>7193743.93262148</v>
      </c>
      <c r="E20" s="12" t="s">
        <v>69</v>
      </c>
      <c r="F20" s="13">
        <v>1.1900000000000001E-2</v>
      </c>
      <c r="G20" s="13">
        <v>4.1000000000000003E-3</v>
      </c>
      <c r="H20" s="13">
        <v>12.9</v>
      </c>
      <c r="I20" s="13">
        <v>43.83</v>
      </c>
      <c r="J20" s="13">
        <v>0.90900000000000003</v>
      </c>
      <c r="K20" s="13">
        <v>139</v>
      </c>
      <c r="L20" s="13">
        <v>5.65</v>
      </c>
      <c r="M20" s="14">
        <v>43.83</v>
      </c>
      <c r="N20" s="13">
        <v>0</v>
      </c>
      <c r="O20" s="13">
        <v>5.47</v>
      </c>
      <c r="P20" s="13">
        <v>5.07</v>
      </c>
      <c r="Q20" s="13">
        <v>11.45</v>
      </c>
      <c r="R20" s="13">
        <v>5.92</v>
      </c>
      <c r="S20" s="13">
        <v>7.58</v>
      </c>
      <c r="T20" s="13">
        <v>5.25</v>
      </c>
      <c r="U20" s="13">
        <v>0.03</v>
      </c>
      <c r="V20" s="13">
        <v>5.0000000000000001E-4</v>
      </c>
      <c r="W20" s="13">
        <v>0.05</v>
      </c>
      <c r="X20" s="13">
        <v>0.05</v>
      </c>
      <c r="Y20" s="13">
        <v>0.1</v>
      </c>
      <c r="Z20" s="13">
        <v>0</v>
      </c>
    </row>
    <row r="21" spans="1:26">
      <c r="A21" s="11" t="s">
        <v>70</v>
      </c>
      <c r="B21" s="11" t="s">
        <v>71</v>
      </c>
      <c r="C21" s="11">
        <v>458687.18312418403</v>
      </c>
      <c r="D21" s="11">
        <v>7192178.7703362498</v>
      </c>
      <c r="E21" s="12" t="s">
        <v>69</v>
      </c>
      <c r="F21" s="13">
        <v>1.4999999999999999E-2</v>
      </c>
      <c r="G21" s="13">
        <v>2.5000000000000001E-3</v>
      </c>
      <c r="H21" s="13">
        <v>6.7</v>
      </c>
      <c r="I21" s="13">
        <v>38.42</v>
      </c>
      <c r="J21" s="13">
        <v>0.28999999999999998</v>
      </c>
      <c r="K21" s="13">
        <v>125</v>
      </c>
      <c r="L21" s="13">
        <v>6.11</v>
      </c>
      <c r="M21" s="14">
        <v>38.42</v>
      </c>
      <c r="N21" s="13">
        <v>0</v>
      </c>
      <c r="O21" s="13">
        <v>1.87</v>
      </c>
      <c r="P21" s="13">
        <v>7.06</v>
      </c>
      <c r="Q21" s="13">
        <v>8.99</v>
      </c>
      <c r="R21" s="13">
        <v>5.57</v>
      </c>
      <c r="S21" s="13">
        <v>1.58</v>
      </c>
      <c r="T21" s="13">
        <v>5.99</v>
      </c>
      <c r="U21" s="13">
        <v>0.03</v>
      </c>
      <c r="V21" s="13">
        <v>5.0000000000000001E-4</v>
      </c>
      <c r="W21" s="13">
        <v>0.05</v>
      </c>
      <c r="X21" s="13">
        <v>0.05</v>
      </c>
      <c r="Y21" s="13">
        <v>0.1</v>
      </c>
      <c r="Z21" s="13">
        <v>0</v>
      </c>
    </row>
    <row r="22" spans="1:26">
      <c r="A22" s="11" t="s">
        <v>72</v>
      </c>
      <c r="B22" s="11" t="s">
        <v>73</v>
      </c>
      <c r="C22" s="11">
        <v>454177.718853325</v>
      </c>
      <c r="D22" s="11">
        <v>7195903.4330917802</v>
      </c>
      <c r="E22" s="12" t="s">
        <v>69</v>
      </c>
      <c r="F22" s="13">
        <v>1.4999999999999999E-2</v>
      </c>
      <c r="G22" s="13">
        <v>2.5000000000000001E-3</v>
      </c>
      <c r="H22" s="13">
        <v>54.6</v>
      </c>
      <c r="I22" s="13">
        <v>9.85</v>
      </c>
      <c r="J22" s="13">
        <v>0.33200000000000002</v>
      </c>
      <c r="K22" s="13">
        <v>278</v>
      </c>
      <c r="L22" s="13">
        <v>5.27</v>
      </c>
      <c r="M22" s="14">
        <v>9.85</v>
      </c>
      <c r="N22" s="13">
        <v>0</v>
      </c>
      <c r="O22" s="13">
        <v>5.73</v>
      </c>
      <c r="P22" s="13">
        <v>9.7100000000000009</v>
      </c>
      <c r="Q22" s="13">
        <v>14.72</v>
      </c>
      <c r="R22" s="13">
        <v>17.2</v>
      </c>
      <c r="S22" s="13">
        <v>3.01</v>
      </c>
      <c r="T22" s="13">
        <v>36.24</v>
      </c>
      <c r="U22" s="13">
        <v>0.03</v>
      </c>
      <c r="V22" s="13">
        <v>5.0000000000000001E-4</v>
      </c>
      <c r="W22" s="13">
        <v>0.05</v>
      </c>
      <c r="X22" s="13">
        <v>0.05</v>
      </c>
      <c r="Y22" s="13">
        <v>0.1</v>
      </c>
      <c r="Z22" s="13">
        <v>0</v>
      </c>
    </row>
    <row r="23" spans="1:26">
      <c r="A23" s="11" t="s">
        <v>74</v>
      </c>
      <c r="B23" s="11" t="s">
        <v>75</v>
      </c>
      <c r="C23" s="11">
        <v>449853.37796535401</v>
      </c>
      <c r="D23" s="11">
        <v>7189176.3807143401</v>
      </c>
      <c r="E23" s="12" t="s">
        <v>69</v>
      </c>
      <c r="F23" s="13">
        <v>1.4999999999999999E-2</v>
      </c>
      <c r="G23" s="13">
        <v>2.5000000000000001E-3</v>
      </c>
      <c r="H23" s="14">
        <v>11.26</v>
      </c>
      <c r="I23" s="13">
        <v>11.82</v>
      </c>
      <c r="J23" s="13">
        <v>0.373</v>
      </c>
      <c r="K23" s="13">
        <v>103</v>
      </c>
      <c r="L23" s="13">
        <v>5.21</v>
      </c>
      <c r="M23" s="14">
        <v>11.82</v>
      </c>
      <c r="N23" s="13">
        <v>0</v>
      </c>
      <c r="O23" s="13">
        <v>5.37</v>
      </c>
      <c r="P23" s="13">
        <v>4.1500000000000004</v>
      </c>
      <c r="Q23" s="13">
        <v>2.4500000000000002</v>
      </c>
      <c r="R23" s="13">
        <v>2.96</v>
      </c>
      <c r="S23" s="13">
        <v>5.36</v>
      </c>
      <c r="T23" s="13">
        <v>3.75</v>
      </c>
      <c r="U23" s="13">
        <v>0.03</v>
      </c>
      <c r="V23" s="13">
        <v>5.0000000000000001E-4</v>
      </c>
      <c r="W23" s="13">
        <v>0.05</v>
      </c>
      <c r="X23" s="13">
        <v>0.05</v>
      </c>
      <c r="Y23" s="13">
        <v>0.1</v>
      </c>
      <c r="Z23" s="13">
        <v>0</v>
      </c>
    </row>
    <row r="24" spans="1:26">
      <c r="A24" s="11" t="s">
        <v>76</v>
      </c>
      <c r="B24" s="11" t="s">
        <v>77</v>
      </c>
      <c r="C24" s="11">
        <v>452191.18177647103</v>
      </c>
      <c r="D24" s="11">
        <v>7196821.18461427</v>
      </c>
      <c r="E24" s="12" t="s">
        <v>69</v>
      </c>
      <c r="F24" s="13">
        <v>0.47499999999999998</v>
      </c>
      <c r="G24" s="13">
        <v>5.4999999999999997E-3</v>
      </c>
      <c r="H24" s="13">
        <v>56.9</v>
      </c>
      <c r="I24" s="13">
        <v>14.77</v>
      </c>
      <c r="J24" s="13">
        <v>0.45500000000000002</v>
      </c>
      <c r="K24" s="13">
        <v>232</v>
      </c>
      <c r="L24" s="13">
        <v>5.42</v>
      </c>
      <c r="M24" s="14">
        <v>14.77</v>
      </c>
      <c r="N24" s="13">
        <v>0</v>
      </c>
      <c r="O24" s="13">
        <v>1.86</v>
      </c>
      <c r="P24" s="13">
        <v>9.75</v>
      </c>
      <c r="Q24" s="13">
        <v>8.99</v>
      </c>
      <c r="R24" s="13">
        <v>13.9</v>
      </c>
      <c r="S24" s="13">
        <v>1.94</v>
      </c>
      <c r="T24" s="13">
        <v>21.24</v>
      </c>
      <c r="U24" s="13">
        <v>0.03</v>
      </c>
      <c r="V24" s="13">
        <v>5.0000000000000001E-4</v>
      </c>
      <c r="W24" s="13">
        <v>0.05</v>
      </c>
      <c r="X24" s="13">
        <v>0.05</v>
      </c>
      <c r="Y24" s="13">
        <v>0.1</v>
      </c>
      <c r="Z24" s="13">
        <v>0</v>
      </c>
    </row>
    <row r="25" spans="1:26">
      <c r="A25" s="11" t="s">
        <v>78</v>
      </c>
      <c r="B25" s="11" t="s">
        <v>79</v>
      </c>
      <c r="C25" s="11">
        <v>438354.94046280999</v>
      </c>
      <c r="D25" s="11">
        <v>7195401.3091128003</v>
      </c>
      <c r="E25" s="12" t="s">
        <v>80</v>
      </c>
      <c r="F25" s="13">
        <v>3.5000000000000003E-2</v>
      </c>
      <c r="G25" s="13">
        <v>2.5000000000000001E-3</v>
      </c>
      <c r="H25" s="13">
        <v>130.30000000000001</v>
      </c>
      <c r="I25" s="13">
        <v>25.61</v>
      </c>
      <c r="J25" s="13">
        <v>0.41399999999999998</v>
      </c>
      <c r="K25" s="13">
        <v>462</v>
      </c>
      <c r="L25" s="13">
        <v>5.9</v>
      </c>
      <c r="M25" s="14">
        <v>25.61</v>
      </c>
      <c r="N25" s="13">
        <v>0</v>
      </c>
      <c r="O25" s="13">
        <v>6.92</v>
      </c>
      <c r="P25" s="13">
        <v>17.77</v>
      </c>
      <c r="Q25" s="13">
        <v>26.16</v>
      </c>
      <c r="R25" s="13">
        <v>23.5</v>
      </c>
      <c r="S25" s="13">
        <v>14.1</v>
      </c>
      <c r="T25" s="13">
        <v>32.979999999999997</v>
      </c>
      <c r="U25" s="13">
        <v>0.03</v>
      </c>
      <c r="V25" s="13">
        <v>5.0000000000000001E-4</v>
      </c>
      <c r="W25" s="13">
        <v>0.05</v>
      </c>
      <c r="X25" s="13">
        <v>0.05</v>
      </c>
      <c r="Y25" s="13">
        <v>0.1</v>
      </c>
      <c r="Z25" s="13">
        <v>0</v>
      </c>
    </row>
    <row r="26" spans="1:26">
      <c r="A26" s="11" t="s">
        <v>81</v>
      </c>
      <c r="B26" s="11" t="s">
        <v>82</v>
      </c>
      <c r="C26" s="11">
        <v>438654.577638535</v>
      </c>
      <c r="D26" s="11">
        <v>7194323.0709140003</v>
      </c>
      <c r="E26" s="12" t="s">
        <v>80</v>
      </c>
      <c r="F26" s="13">
        <v>1.4999999999999999E-2</v>
      </c>
      <c r="G26" s="13">
        <v>2.5000000000000001E-3</v>
      </c>
      <c r="H26" s="13">
        <v>80.599999999999994</v>
      </c>
      <c r="I26" s="13">
        <v>13.79</v>
      </c>
      <c r="J26" s="13">
        <v>0.74399999999999999</v>
      </c>
      <c r="K26" s="13">
        <v>316</v>
      </c>
      <c r="L26" s="13">
        <v>5.78</v>
      </c>
      <c r="M26" s="14">
        <v>13.79</v>
      </c>
      <c r="N26" s="13">
        <v>0</v>
      </c>
      <c r="O26" s="13">
        <v>3.31</v>
      </c>
      <c r="P26" s="13">
        <v>3.74</v>
      </c>
      <c r="Q26" s="13">
        <v>19.62</v>
      </c>
      <c r="R26" s="13">
        <v>17.3</v>
      </c>
      <c r="S26" s="13">
        <v>5.55</v>
      </c>
      <c r="T26" s="13">
        <v>26.99</v>
      </c>
      <c r="U26" s="13">
        <v>0.03</v>
      </c>
      <c r="V26" s="13">
        <v>5.0000000000000001E-4</v>
      </c>
      <c r="W26" s="13">
        <v>0.05</v>
      </c>
      <c r="X26" s="13">
        <v>0.05</v>
      </c>
      <c r="Y26" s="13">
        <v>0.1</v>
      </c>
      <c r="Z26" s="13">
        <v>0</v>
      </c>
    </row>
    <row r="27" spans="1:26">
      <c r="A27" s="11" t="s">
        <v>149</v>
      </c>
      <c r="B27" s="11" t="s">
        <v>83</v>
      </c>
      <c r="C27" s="11">
        <v>442580.39644952299</v>
      </c>
      <c r="D27" s="11">
        <v>7198741.7296812702</v>
      </c>
      <c r="E27" s="12" t="s">
        <v>84</v>
      </c>
      <c r="F27" s="13">
        <v>1.4999999999999999E-2</v>
      </c>
      <c r="G27" s="13">
        <v>2.5000000000000001E-3</v>
      </c>
      <c r="H27" s="13">
        <v>30.1</v>
      </c>
      <c r="I27" s="13">
        <v>42.84</v>
      </c>
      <c r="J27" s="13">
        <v>0.82599999999999996</v>
      </c>
      <c r="K27" s="13">
        <v>265</v>
      </c>
      <c r="L27" s="13">
        <v>5.48</v>
      </c>
      <c r="M27" s="13">
        <f t="shared" ref="M27:M45" si="0">I27</f>
        <v>42.84</v>
      </c>
      <c r="N27" s="13">
        <v>0</v>
      </c>
      <c r="O27" s="13">
        <v>8.75</v>
      </c>
      <c r="P27" s="13">
        <v>7.74</v>
      </c>
      <c r="Q27" s="13">
        <v>15.54</v>
      </c>
      <c r="R27" s="13">
        <v>15.6</v>
      </c>
      <c r="S27" s="13">
        <v>4.6399999999999997</v>
      </c>
      <c r="T27" s="13">
        <v>20.99</v>
      </c>
      <c r="U27" s="13">
        <v>0.03</v>
      </c>
      <c r="V27" s="13">
        <v>5.0000000000000001E-4</v>
      </c>
      <c r="W27" s="13">
        <v>0.05</v>
      </c>
      <c r="X27" s="13">
        <v>0.05</v>
      </c>
      <c r="Y27" s="13">
        <v>0.1</v>
      </c>
      <c r="Z27" s="13">
        <v>0</v>
      </c>
    </row>
    <row r="28" spans="1:26">
      <c r="A28" s="11" t="s">
        <v>150</v>
      </c>
      <c r="B28" s="11" t="s">
        <v>85</v>
      </c>
      <c r="C28" s="11">
        <v>455088.72847333603</v>
      </c>
      <c r="D28" s="11">
        <v>7208741.5110524697</v>
      </c>
      <c r="E28" s="12" t="s">
        <v>86</v>
      </c>
      <c r="F28" s="13">
        <v>1.4999999999999999E-2</v>
      </c>
      <c r="G28" s="13">
        <v>2.5000000000000001E-3</v>
      </c>
      <c r="H28" s="13">
        <v>8.69</v>
      </c>
      <c r="I28" s="13">
        <v>97.52</v>
      </c>
      <c r="J28" s="13">
        <v>0.16700000000000001</v>
      </c>
      <c r="K28" s="13">
        <v>229</v>
      </c>
      <c r="L28" s="13">
        <v>6.75</v>
      </c>
      <c r="M28" s="13">
        <f t="shared" si="0"/>
        <v>97.52</v>
      </c>
      <c r="N28" s="13">
        <v>0</v>
      </c>
      <c r="O28" s="13">
        <v>0.39900000000000002</v>
      </c>
      <c r="P28" s="13">
        <v>14.61</v>
      </c>
      <c r="Q28" s="13">
        <v>15.13</v>
      </c>
      <c r="R28" s="13">
        <v>6.99</v>
      </c>
      <c r="S28" s="13">
        <v>2.48</v>
      </c>
      <c r="T28" s="13">
        <v>2.99</v>
      </c>
      <c r="U28" s="13">
        <v>0.03</v>
      </c>
      <c r="V28" s="13">
        <v>5.0000000000000001E-4</v>
      </c>
      <c r="W28" s="13">
        <v>0.05</v>
      </c>
      <c r="X28" s="13">
        <v>0.05</v>
      </c>
      <c r="Y28" s="13">
        <v>0.1</v>
      </c>
      <c r="Z28" s="13">
        <v>0</v>
      </c>
    </row>
    <row r="29" spans="1:26">
      <c r="A29" s="11" t="s">
        <v>151</v>
      </c>
      <c r="B29" s="11" t="s">
        <v>87</v>
      </c>
      <c r="C29" s="11">
        <v>452473.63908794499</v>
      </c>
      <c r="D29" s="11">
        <v>7209209.4092132002</v>
      </c>
      <c r="E29" s="12" t="s">
        <v>86</v>
      </c>
      <c r="F29" s="13">
        <v>1.4999999999999999E-2</v>
      </c>
      <c r="G29" s="13">
        <v>2.5000000000000001E-3</v>
      </c>
      <c r="H29" s="13">
        <v>11.3</v>
      </c>
      <c r="I29" s="13">
        <v>65.010000000000005</v>
      </c>
      <c r="J29" s="13">
        <v>0.57899999999999996</v>
      </c>
      <c r="K29" s="13">
        <v>264</v>
      </c>
      <c r="L29" s="13">
        <v>7.03</v>
      </c>
      <c r="M29" s="13">
        <f t="shared" si="0"/>
        <v>65.010000000000005</v>
      </c>
      <c r="N29" s="13">
        <v>0</v>
      </c>
      <c r="O29" s="13">
        <v>14.57</v>
      </c>
      <c r="P29" s="13">
        <v>5.79</v>
      </c>
      <c r="Q29" s="13">
        <v>13.08</v>
      </c>
      <c r="R29" s="13">
        <v>23.7</v>
      </c>
      <c r="S29" s="13">
        <v>4.96</v>
      </c>
      <c r="T29" s="13">
        <v>20.49</v>
      </c>
      <c r="U29" s="13">
        <v>0.03</v>
      </c>
      <c r="V29" s="13">
        <v>5.0000000000000001E-4</v>
      </c>
      <c r="W29" s="13">
        <v>0.05</v>
      </c>
      <c r="X29" s="13">
        <v>0.05</v>
      </c>
      <c r="Y29" s="13">
        <v>0.1</v>
      </c>
      <c r="Z29" s="13">
        <v>0</v>
      </c>
    </row>
    <row r="30" spans="1:26">
      <c r="A30" s="11" t="s">
        <v>152</v>
      </c>
      <c r="B30" s="11" t="s">
        <v>88</v>
      </c>
      <c r="C30" s="11">
        <v>452022.542680985</v>
      </c>
      <c r="D30" s="11">
        <v>7205081.7880296297</v>
      </c>
      <c r="E30" s="12" t="s">
        <v>86</v>
      </c>
      <c r="F30" s="13">
        <v>1.4999999999999999E-2</v>
      </c>
      <c r="G30" s="13">
        <v>2.5000000000000001E-3</v>
      </c>
      <c r="H30" s="13">
        <v>1.62</v>
      </c>
      <c r="I30" s="13">
        <v>29.55</v>
      </c>
      <c r="J30" s="13">
        <v>2.39</v>
      </c>
      <c r="K30" s="13">
        <v>130</v>
      </c>
      <c r="L30" s="13">
        <v>7.09</v>
      </c>
      <c r="M30" s="13">
        <f t="shared" si="0"/>
        <v>29.55</v>
      </c>
      <c r="N30" s="13">
        <v>0</v>
      </c>
      <c r="O30" s="13">
        <v>11.29</v>
      </c>
      <c r="P30" s="13">
        <v>3.83</v>
      </c>
      <c r="Q30" s="13">
        <v>13.89</v>
      </c>
      <c r="R30" s="13">
        <v>4.55</v>
      </c>
      <c r="S30" s="13">
        <v>2.29</v>
      </c>
      <c r="T30" s="13">
        <v>10.34</v>
      </c>
      <c r="U30" s="13">
        <v>0.03</v>
      </c>
      <c r="V30" s="13">
        <v>5.0000000000000001E-4</v>
      </c>
      <c r="W30" s="13">
        <v>0.05</v>
      </c>
      <c r="X30" s="13">
        <v>0.05</v>
      </c>
      <c r="Y30" s="13">
        <v>0.1</v>
      </c>
      <c r="Z30" s="13">
        <v>0</v>
      </c>
    </row>
    <row r="31" spans="1:26">
      <c r="A31" s="11" t="s">
        <v>153</v>
      </c>
      <c r="B31" s="11" t="s">
        <v>89</v>
      </c>
      <c r="C31" s="11">
        <v>451785.14197290799</v>
      </c>
      <c r="D31" s="11">
        <v>7202563.0128154801</v>
      </c>
      <c r="E31" s="12" t="s">
        <v>86</v>
      </c>
      <c r="F31" s="13">
        <v>1.4999999999999999E-2</v>
      </c>
      <c r="G31" s="13">
        <v>2.5000000000000001E-3</v>
      </c>
      <c r="H31" s="13">
        <v>13</v>
      </c>
      <c r="I31" s="13">
        <v>15.76</v>
      </c>
      <c r="J31" s="13">
        <v>0.497</v>
      </c>
      <c r="K31" s="13">
        <v>73.2</v>
      </c>
      <c r="L31" s="13">
        <v>5.95</v>
      </c>
      <c r="M31" s="13">
        <f t="shared" si="0"/>
        <v>15.76</v>
      </c>
      <c r="N31" s="13">
        <v>0</v>
      </c>
      <c r="O31" s="13">
        <v>2.42</v>
      </c>
      <c r="P31" s="13">
        <v>2.65</v>
      </c>
      <c r="Q31" s="13">
        <v>6.13</v>
      </c>
      <c r="R31" s="13">
        <v>2.0499999999999998</v>
      </c>
      <c r="S31" s="13">
        <v>1.56</v>
      </c>
      <c r="T31" s="13">
        <v>1.99</v>
      </c>
      <c r="U31" s="13">
        <v>0.03</v>
      </c>
      <c r="V31" s="13">
        <v>5.0000000000000001E-4</v>
      </c>
      <c r="W31" s="13">
        <v>0.05</v>
      </c>
      <c r="X31" s="13">
        <v>0.05</v>
      </c>
      <c r="Y31" s="13">
        <v>0.1</v>
      </c>
      <c r="Z31" s="13">
        <v>0</v>
      </c>
    </row>
    <row r="32" spans="1:26">
      <c r="A32" s="11" t="s">
        <v>154</v>
      </c>
      <c r="B32" s="11" t="s">
        <v>90</v>
      </c>
      <c r="C32" s="11">
        <v>449051.24009793298</v>
      </c>
      <c r="D32" s="11">
        <v>7201795.1964336401</v>
      </c>
      <c r="E32" s="12" t="s">
        <v>91</v>
      </c>
      <c r="F32" s="13">
        <v>1.4999999999999999E-2</v>
      </c>
      <c r="G32" s="13">
        <v>2.5000000000000001E-3</v>
      </c>
      <c r="H32" s="13">
        <v>34.5</v>
      </c>
      <c r="I32" s="13">
        <v>34.479999999999997</v>
      </c>
      <c r="J32" s="13">
        <v>1.78</v>
      </c>
      <c r="K32" s="13">
        <v>204</v>
      </c>
      <c r="L32" s="13">
        <v>6.52</v>
      </c>
      <c r="M32" s="13">
        <f t="shared" si="0"/>
        <v>34.479999999999997</v>
      </c>
      <c r="N32" s="13">
        <v>0</v>
      </c>
      <c r="O32" s="13">
        <v>3.61</v>
      </c>
      <c r="P32" s="13">
        <v>3.36</v>
      </c>
      <c r="Q32" s="13">
        <v>9.81</v>
      </c>
      <c r="R32" s="13">
        <v>21.2</v>
      </c>
      <c r="S32" s="13">
        <v>2.99</v>
      </c>
      <c r="T32" s="13">
        <v>20.49</v>
      </c>
      <c r="U32" s="13">
        <v>0.03</v>
      </c>
      <c r="V32" s="13">
        <v>5.0000000000000001E-4</v>
      </c>
      <c r="W32" s="13">
        <v>0.05</v>
      </c>
      <c r="X32" s="13">
        <v>0.05</v>
      </c>
      <c r="Y32" s="13">
        <v>0.1</v>
      </c>
      <c r="Z32" s="13">
        <v>0</v>
      </c>
    </row>
    <row r="33" spans="1:26">
      <c r="A33" s="11" t="s">
        <v>155</v>
      </c>
      <c r="B33" s="11" t="s">
        <v>92</v>
      </c>
      <c r="C33" s="11">
        <v>453494.17019743798</v>
      </c>
      <c r="D33" s="11">
        <v>7202356.3940639002</v>
      </c>
      <c r="E33" s="12" t="s">
        <v>91</v>
      </c>
      <c r="F33" s="13">
        <v>1.4999999999999999E-2</v>
      </c>
      <c r="G33" s="13">
        <v>2.5000000000000001E-3</v>
      </c>
      <c r="H33" s="13">
        <v>19.600000000000001</v>
      </c>
      <c r="I33" s="13">
        <v>23.64</v>
      </c>
      <c r="J33" s="13">
        <v>1.1200000000000001</v>
      </c>
      <c r="K33" s="13">
        <v>111</v>
      </c>
      <c r="L33" s="13">
        <v>6.13</v>
      </c>
      <c r="M33" s="13">
        <f t="shared" si="0"/>
        <v>23.64</v>
      </c>
      <c r="N33" s="13">
        <v>0</v>
      </c>
      <c r="O33" s="13">
        <v>1.97</v>
      </c>
      <c r="P33" s="13">
        <v>2.89</v>
      </c>
      <c r="Q33" s="13">
        <v>7.36</v>
      </c>
      <c r="R33" s="13">
        <v>4.8</v>
      </c>
      <c r="S33" s="13">
        <v>4.03</v>
      </c>
      <c r="T33" s="13">
        <v>4.49</v>
      </c>
      <c r="U33" s="13">
        <v>0.03</v>
      </c>
      <c r="V33" s="13">
        <v>5.0000000000000001E-4</v>
      </c>
      <c r="W33" s="13">
        <v>0.05</v>
      </c>
      <c r="X33" s="13">
        <v>0.05</v>
      </c>
      <c r="Y33" s="13">
        <v>0.1</v>
      </c>
      <c r="Z33" s="13">
        <v>0</v>
      </c>
    </row>
    <row r="34" spans="1:26">
      <c r="A34" s="11" t="s">
        <v>156</v>
      </c>
      <c r="B34" s="11" t="s">
        <v>93</v>
      </c>
      <c r="C34" s="11">
        <v>453823.22131830902</v>
      </c>
      <c r="D34" s="11">
        <v>7212458.2949563097</v>
      </c>
      <c r="E34" s="12" t="s">
        <v>91</v>
      </c>
      <c r="F34" s="13">
        <v>1.4999999999999999E-2</v>
      </c>
      <c r="G34" s="13">
        <v>2.5000000000000001E-3</v>
      </c>
      <c r="H34" s="13">
        <v>8.2200000000000006</v>
      </c>
      <c r="I34" s="13">
        <v>25.61</v>
      </c>
      <c r="J34" s="13">
        <v>1.2</v>
      </c>
      <c r="K34" s="13">
        <v>101</v>
      </c>
      <c r="L34" s="13">
        <v>5.42</v>
      </c>
      <c r="M34" s="13">
        <f t="shared" si="0"/>
        <v>25.61</v>
      </c>
      <c r="N34" s="13">
        <v>0</v>
      </c>
      <c r="O34" s="13">
        <v>6.6</v>
      </c>
      <c r="P34" s="13">
        <v>2.19</v>
      </c>
      <c r="Q34" s="13">
        <v>5.31</v>
      </c>
      <c r="R34" s="13">
        <v>4.9800000000000004</v>
      </c>
      <c r="S34" s="13">
        <v>5.58</v>
      </c>
      <c r="T34" s="13">
        <v>2.5</v>
      </c>
      <c r="U34" s="13">
        <v>0.03</v>
      </c>
      <c r="V34" s="13">
        <v>5.0000000000000001E-4</v>
      </c>
      <c r="W34" s="13">
        <v>0.05</v>
      </c>
      <c r="X34" s="13">
        <v>0.05</v>
      </c>
      <c r="Y34" s="13">
        <v>0.1</v>
      </c>
      <c r="Z34" s="13">
        <v>0</v>
      </c>
    </row>
    <row r="35" spans="1:26">
      <c r="A35" s="11" t="s">
        <v>157</v>
      </c>
      <c r="B35" s="11" t="s">
        <v>94</v>
      </c>
      <c r="C35" s="11">
        <v>451859.64202073502</v>
      </c>
      <c r="D35" s="11">
        <v>7220653.1563704899</v>
      </c>
      <c r="E35" s="12" t="s">
        <v>95</v>
      </c>
      <c r="F35" s="13">
        <v>0.50600000000000001</v>
      </c>
      <c r="G35" s="13">
        <v>2.5000000000000001E-3</v>
      </c>
      <c r="H35" s="13">
        <v>10.7</v>
      </c>
      <c r="I35" s="13">
        <v>29.55</v>
      </c>
      <c r="J35" s="13">
        <v>0.90800000000000003</v>
      </c>
      <c r="K35" s="13">
        <v>1073</v>
      </c>
      <c r="L35" s="13">
        <v>5.36</v>
      </c>
      <c r="M35" s="13">
        <f t="shared" si="0"/>
        <v>29.55</v>
      </c>
      <c r="N35" s="13">
        <v>0</v>
      </c>
      <c r="O35" s="13">
        <v>11.12</v>
      </c>
      <c r="P35" s="13">
        <v>10.130000000000001</v>
      </c>
      <c r="Q35" s="13">
        <v>25.43</v>
      </c>
      <c r="R35" s="13">
        <v>109</v>
      </c>
      <c r="S35" s="13">
        <v>7.21</v>
      </c>
      <c r="T35" s="13">
        <v>261.16000000000003</v>
      </c>
      <c r="U35" s="13">
        <v>0.03</v>
      </c>
      <c r="V35" s="13">
        <v>5.0000000000000001E-4</v>
      </c>
      <c r="W35" s="13">
        <v>0.05</v>
      </c>
      <c r="X35" s="13">
        <v>0.05</v>
      </c>
      <c r="Y35" s="13">
        <v>0.1</v>
      </c>
      <c r="Z35" s="13">
        <v>0</v>
      </c>
    </row>
    <row r="36" spans="1:26">
      <c r="A36" s="11" t="s">
        <v>158</v>
      </c>
      <c r="B36" s="11" t="s">
        <v>96</v>
      </c>
      <c r="C36" s="11">
        <v>452804.75057034497</v>
      </c>
      <c r="D36" s="11">
        <v>7219828.3979764301</v>
      </c>
      <c r="E36" s="12" t="s">
        <v>95</v>
      </c>
      <c r="F36" s="13">
        <v>1.4999999999999999E-2</v>
      </c>
      <c r="G36" s="13">
        <v>2.5000000000000001E-3</v>
      </c>
      <c r="H36" s="13">
        <v>4.09</v>
      </c>
      <c r="I36" s="13">
        <v>26.59</v>
      </c>
      <c r="J36" s="13">
        <v>1.07</v>
      </c>
      <c r="K36" s="13">
        <v>727</v>
      </c>
      <c r="L36" s="13">
        <v>5.63</v>
      </c>
      <c r="M36" s="13">
        <f t="shared" si="0"/>
        <v>26.59</v>
      </c>
      <c r="N36" s="13">
        <v>0</v>
      </c>
      <c r="O36" s="13">
        <v>19.170000000000002</v>
      </c>
      <c r="P36" s="13">
        <v>10.15</v>
      </c>
      <c r="Q36" s="13">
        <v>22.07</v>
      </c>
      <c r="R36" s="13">
        <v>73.400000000000006</v>
      </c>
      <c r="S36" s="13">
        <v>10.1</v>
      </c>
      <c r="T36" s="13">
        <v>154.94999999999999</v>
      </c>
      <c r="U36" s="13">
        <v>0.03</v>
      </c>
      <c r="V36" s="13">
        <v>5.0000000000000001E-4</v>
      </c>
      <c r="W36" s="13">
        <v>0.05</v>
      </c>
      <c r="X36" s="13">
        <v>0.05</v>
      </c>
      <c r="Y36" s="13">
        <v>0.1</v>
      </c>
      <c r="Z36" s="13">
        <v>0</v>
      </c>
    </row>
    <row r="37" spans="1:26">
      <c r="A37" s="11" t="s">
        <v>159</v>
      </c>
      <c r="B37" s="11" t="s">
        <v>97</v>
      </c>
      <c r="C37" s="11">
        <v>452844.09062252397</v>
      </c>
      <c r="D37" s="11">
        <v>7218948.7498017298</v>
      </c>
      <c r="E37" s="12" t="s">
        <v>95</v>
      </c>
      <c r="F37" s="13">
        <v>1.4999999999999999E-2</v>
      </c>
      <c r="G37" s="13">
        <v>2.5000000000000001E-3</v>
      </c>
      <c r="H37" s="13">
        <v>3.75</v>
      </c>
      <c r="I37" s="13">
        <v>36.450000000000003</v>
      </c>
      <c r="J37" s="13">
        <v>0.66200000000000003</v>
      </c>
      <c r="K37" s="13">
        <v>305</v>
      </c>
      <c r="L37" s="13">
        <v>5.47</v>
      </c>
      <c r="M37" s="13">
        <f t="shared" si="0"/>
        <v>36.450000000000003</v>
      </c>
      <c r="N37" s="13">
        <v>0</v>
      </c>
      <c r="O37" s="13">
        <v>10.33</v>
      </c>
      <c r="P37" s="13">
        <v>2.59</v>
      </c>
      <c r="Q37" s="13">
        <v>15.94</v>
      </c>
      <c r="R37" s="13">
        <v>25.5</v>
      </c>
      <c r="S37" s="13">
        <v>10.7</v>
      </c>
      <c r="T37" s="13">
        <v>34</v>
      </c>
      <c r="U37" s="13">
        <v>0.03</v>
      </c>
      <c r="V37" s="13">
        <v>5.0000000000000001E-4</v>
      </c>
      <c r="W37" s="13">
        <v>0.05</v>
      </c>
      <c r="X37" s="13">
        <v>0.05</v>
      </c>
      <c r="Y37" s="13">
        <v>0.1</v>
      </c>
      <c r="Z37" s="13">
        <v>0</v>
      </c>
    </row>
    <row r="38" spans="1:26">
      <c r="A38" s="11" t="s">
        <v>160</v>
      </c>
      <c r="B38" s="11" t="s">
        <v>98</v>
      </c>
      <c r="C38" s="11">
        <v>452231.32203945401</v>
      </c>
      <c r="D38" s="11">
        <v>7217096.3443406196</v>
      </c>
      <c r="E38" s="12" t="s">
        <v>95</v>
      </c>
      <c r="F38" s="13">
        <v>1.52E-2</v>
      </c>
      <c r="G38" s="13">
        <v>2.5000000000000001E-3</v>
      </c>
      <c r="H38" s="13">
        <v>3.95</v>
      </c>
      <c r="I38" s="13">
        <v>31.52</v>
      </c>
      <c r="J38" s="13">
        <v>0.74399999999999999</v>
      </c>
      <c r="K38" s="13">
        <v>285</v>
      </c>
      <c r="L38" s="13">
        <v>5.72</v>
      </c>
      <c r="M38" s="13">
        <f t="shared" si="0"/>
        <v>31.52</v>
      </c>
      <c r="N38" s="13">
        <v>0</v>
      </c>
      <c r="O38" s="13">
        <v>8.32</v>
      </c>
      <c r="P38" s="13">
        <v>3.34</v>
      </c>
      <c r="Q38" s="13">
        <v>13.08</v>
      </c>
      <c r="R38" s="13">
        <v>26.2</v>
      </c>
      <c r="S38" s="13">
        <v>5.66</v>
      </c>
      <c r="T38" s="13">
        <v>45.57</v>
      </c>
      <c r="U38" s="13">
        <v>0.03</v>
      </c>
      <c r="V38" s="13">
        <v>5.0000000000000001E-4</v>
      </c>
      <c r="W38" s="13">
        <v>0.05</v>
      </c>
      <c r="X38" s="13">
        <v>0.05</v>
      </c>
      <c r="Y38" s="13">
        <v>0.1</v>
      </c>
      <c r="Z38" s="13">
        <v>0</v>
      </c>
    </row>
    <row r="39" spans="1:26">
      <c r="A39" s="11" t="s">
        <v>161</v>
      </c>
      <c r="B39" s="11" t="s">
        <v>99</v>
      </c>
      <c r="C39" s="11">
        <v>454131.29999072402</v>
      </c>
      <c r="D39" s="11">
        <v>7215633.90000349</v>
      </c>
      <c r="E39" s="12" t="s">
        <v>100</v>
      </c>
      <c r="F39" s="13">
        <v>1.83E-2</v>
      </c>
      <c r="G39" s="13">
        <v>2.5000000000000001E-3</v>
      </c>
      <c r="H39" s="13">
        <v>8.41</v>
      </c>
      <c r="I39" s="13">
        <v>12.81</v>
      </c>
      <c r="J39" s="13">
        <v>1.44</v>
      </c>
      <c r="K39" s="13">
        <v>131</v>
      </c>
      <c r="L39" s="13">
        <v>5.3</v>
      </c>
      <c r="M39" s="13">
        <f t="shared" si="0"/>
        <v>12.81</v>
      </c>
      <c r="N39" s="13">
        <v>0</v>
      </c>
      <c r="O39" s="13">
        <v>18.66</v>
      </c>
      <c r="P39" s="13">
        <v>1.17</v>
      </c>
      <c r="Q39" s="13">
        <v>8.18</v>
      </c>
      <c r="R39" s="13">
        <v>8.16</v>
      </c>
      <c r="S39" s="13">
        <v>3.37</v>
      </c>
      <c r="T39" s="13">
        <v>5.99</v>
      </c>
      <c r="U39" s="13">
        <v>0.03</v>
      </c>
      <c r="V39" s="13">
        <v>5.0000000000000001E-4</v>
      </c>
      <c r="W39" s="13">
        <v>0.05</v>
      </c>
      <c r="X39" s="13">
        <v>0.05</v>
      </c>
      <c r="Y39" s="13">
        <v>0.1</v>
      </c>
      <c r="Z39" s="13">
        <v>0</v>
      </c>
    </row>
    <row r="40" spans="1:26">
      <c r="A40" s="11" t="s">
        <v>162</v>
      </c>
      <c r="B40" s="11" t="s">
        <v>101</v>
      </c>
      <c r="C40" s="11">
        <v>453856.79983696598</v>
      </c>
      <c r="D40" s="11">
        <v>7217349.3999527302</v>
      </c>
      <c r="E40" s="12" t="s">
        <v>100</v>
      </c>
      <c r="F40" s="13">
        <v>1.4999999999999999E-2</v>
      </c>
      <c r="G40" s="13">
        <v>2.5000000000000001E-3</v>
      </c>
      <c r="H40" s="13">
        <v>13.5</v>
      </c>
      <c r="I40" s="13">
        <v>16.75</v>
      </c>
      <c r="J40" s="13">
        <v>1.56</v>
      </c>
      <c r="K40" s="13">
        <v>159</v>
      </c>
      <c r="L40" s="13">
        <v>5.85</v>
      </c>
      <c r="M40" s="13">
        <f t="shared" si="0"/>
        <v>16.75</v>
      </c>
      <c r="N40" s="13">
        <v>0</v>
      </c>
      <c r="O40" s="13">
        <v>21.82</v>
      </c>
      <c r="P40" s="13">
        <v>2.42</v>
      </c>
      <c r="Q40" s="13">
        <v>5.72</v>
      </c>
      <c r="R40" s="13">
        <v>11.6</v>
      </c>
      <c r="S40" s="13">
        <v>3.3</v>
      </c>
      <c r="T40" s="13">
        <v>6.49</v>
      </c>
      <c r="U40" s="13">
        <v>0.03</v>
      </c>
      <c r="V40" s="13">
        <v>5.0000000000000001E-4</v>
      </c>
      <c r="W40" s="13">
        <v>0.05</v>
      </c>
      <c r="X40" s="13">
        <v>0.05</v>
      </c>
      <c r="Y40" s="13">
        <v>0.1</v>
      </c>
      <c r="Z40" s="13">
        <v>0</v>
      </c>
    </row>
    <row r="41" spans="1:26">
      <c r="A41" s="11" t="s">
        <v>163</v>
      </c>
      <c r="B41" s="11" t="s">
        <v>102</v>
      </c>
      <c r="C41" s="11">
        <v>448622.09998293</v>
      </c>
      <c r="D41" s="11">
        <v>7212784.3000807501</v>
      </c>
      <c r="E41" s="12" t="s">
        <v>100</v>
      </c>
      <c r="F41" s="13">
        <v>1.4999999999999999E-2</v>
      </c>
      <c r="G41" s="13">
        <v>2.5000000000000001E-3</v>
      </c>
      <c r="H41" s="13">
        <v>10.1</v>
      </c>
      <c r="I41" s="13">
        <v>17.73</v>
      </c>
      <c r="J41" s="13">
        <v>1.6</v>
      </c>
      <c r="K41" s="13">
        <v>369</v>
      </c>
      <c r="L41" s="13">
        <v>5.32</v>
      </c>
      <c r="M41" s="13">
        <f t="shared" si="0"/>
        <v>17.73</v>
      </c>
      <c r="N41" s="13">
        <v>0</v>
      </c>
      <c r="O41" s="13">
        <v>5.73</v>
      </c>
      <c r="P41" s="13">
        <v>3.09</v>
      </c>
      <c r="Q41" s="13">
        <v>13.08</v>
      </c>
      <c r="R41" s="13">
        <v>26</v>
      </c>
      <c r="S41" s="13">
        <v>3.55</v>
      </c>
      <c r="T41" s="13">
        <v>46.81</v>
      </c>
      <c r="U41" s="13">
        <v>0.03</v>
      </c>
      <c r="V41" s="13">
        <v>5.0000000000000001E-4</v>
      </c>
      <c r="W41" s="13">
        <v>0.05</v>
      </c>
      <c r="X41" s="13">
        <v>0.05</v>
      </c>
      <c r="Y41" s="13">
        <v>0.1</v>
      </c>
      <c r="Z41" s="13">
        <v>0</v>
      </c>
    </row>
    <row r="42" spans="1:26">
      <c r="A42" s="11" t="s">
        <v>164</v>
      </c>
      <c r="B42" s="11" t="s">
        <v>103</v>
      </c>
      <c r="C42" s="11">
        <v>440406.38256567903</v>
      </c>
      <c r="D42" s="11">
        <v>7197024.0255441004</v>
      </c>
      <c r="E42" s="12" t="s">
        <v>104</v>
      </c>
      <c r="F42" s="13">
        <v>0.151</v>
      </c>
      <c r="G42" s="13">
        <v>3.5000000000000001E-3</v>
      </c>
      <c r="H42" s="13">
        <v>136</v>
      </c>
      <c r="I42" s="13">
        <v>30.54</v>
      </c>
      <c r="J42" s="13">
        <v>0.31900000000000001</v>
      </c>
      <c r="K42" s="13">
        <v>531</v>
      </c>
      <c r="L42" s="13">
        <v>7.51</v>
      </c>
      <c r="M42" s="13">
        <f t="shared" si="0"/>
        <v>30.54</v>
      </c>
      <c r="N42" s="13">
        <v>0</v>
      </c>
      <c r="O42" s="13">
        <v>10.130000000000001</v>
      </c>
      <c r="P42" s="13">
        <v>14.47</v>
      </c>
      <c r="Q42" s="13">
        <v>36.79</v>
      </c>
      <c r="R42" s="13">
        <v>22.6</v>
      </c>
      <c r="S42" s="13">
        <v>11.2</v>
      </c>
      <c r="T42" s="13">
        <v>36.99</v>
      </c>
      <c r="U42" s="13">
        <v>0.03</v>
      </c>
      <c r="V42" s="13">
        <v>5.0000000000000001E-4</v>
      </c>
      <c r="W42" s="13">
        <v>0.05</v>
      </c>
      <c r="X42" s="13">
        <v>0.05</v>
      </c>
      <c r="Y42" s="13">
        <v>0.1</v>
      </c>
      <c r="Z42" s="13">
        <v>300</v>
      </c>
    </row>
    <row r="43" spans="1:26">
      <c r="A43" s="11" t="s">
        <v>165</v>
      </c>
      <c r="B43" s="11" t="s">
        <v>106</v>
      </c>
      <c r="C43" s="11">
        <v>442015.236900369</v>
      </c>
      <c r="D43" s="11">
        <v>7194658.5646666996</v>
      </c>
      <c r="E43" s="12" t="s">
        <v>104</v>
      </c>
      <c r="F43" s="13">
        <v>1.4999999999999999E-2</v>
      </c>
      <c r="G43" s="13">
        <v>2.5000000000000001E-3</v>
      </c>
      <c r="H43" s="13">
        <v>47.6</v>
      </c>
      <c r="I43" s="13">
        <v>15.76</v>
      </c>
      <c r="J43" s="13">
        <v>7.4999999999999997E-2</v>
      </c>
      <c r="K43" s="13">
        <v>214</v>
      </c>
      <c r="L43" s="13">
        <v>7.23</v>
      </c>
      <c r="M43" s="13">
        <f t="shared" si="0"/>
        <v>15.76</v>
      </c>
      <c r="N43" s="13">
        <v>0</v>
      </c>
      <c r="O43" s="13">
        <v>5.36</v>
      </c>
      <c r="P43" s="13">
        <v>4.29</v>
      </c>
      <c r="Q43" s="13">
        <v>17.170000000000002</v>
      </c>
      <c r="R43" s="13">
        <v>6.27</v>
      </c>
      <c r="S43" s="13">
        <v>7.68</v>
      </c>
      <c r="T43" s="13">
        <v>15.49</v>
      </c>
      <c r="U43" s="13">
        <v>0.03</v>
      </c>
      <c r="V43" s="13">
        <v>5.0000000000000001E-4</v>
      </c>
      <c r="W43" s="13">
        <v>0.05</v>
      </c>
      <c r="X43" s="13">
        <v>0.05</v>
      </c>
      <c r="Y43" s="13">
        <v>0.1</v>
      </c>
      <c r="Z43" s="13">
        <v>0</v>
      </c>
    </row>
    <row r="44" spans="1:26">
      <c r="A44" s="11" t="s">
        <v>166</v>
      </c>
      <c r="B44" s="11" t="s">
        <v>107</v>
      </c>
      <c r="C44" s="11">
        <v>446015.20244705601</v>
      </c>
      <c r="D44" s="11">
        <v>7188547.5564474203</v>
      </c>
      <c r="E44" s="12" t="s">
        <v>104</v>
      </c>
      <c r="F44" s="13">
        <v>1.4999999999999999E-2</v>
      </c>
      <c r="G44" s="13">
        <v>2.5000000000000001E-3</v>
      </c>
      <c r="H44" s="13">
        <v>50.9</v>
      </c>
      <c r="I44" s="13">
        <v>25.61</v>
      </c>
      <c r="J44" s="13">
        <v>0.154</v>
      </c>
      <c r="K44" s="13">
        <v>223</v>
      </c>
      <c r="L44" s="13">
        <v>7.48</v>
      </c>
      <c r="M44" s="13">
        <f t="shared" si="0"/>
        <v>25.61</v>
      </c>
      <c r="N44" s="13">
        <v>0</v>
      </c>
      <c r="O44" s="13">
        <v>4.57</v>
      </c>
      <c r="P44" s="13">
        <v>5.54</v>
      </c>
      <c r="Q44" s="13">
        <v>14.31</v>
      </c>
      <c r="R44" s="13">
        <v>7.96</v>
      </c>
      <c r="S44" s="13">
        <v>8.99</v>
      </c>
      <c r="T44" s="13">
        <v>10.49</v>
      </c>
      <c r="U44" s="13">
        <v>0.03</v>
      </c>
      <c r="V44" s="13">
        <v>5.0000000000000001E-4</v>
      </c>
      <c r="W44" s="13">
        <v>0.05</v>
      </c>
      <c r="X44" s="13">
        <v>0.05</v>
      </c>
      <c r="Y44" s="13">
        <v>0.1</v>
      </c>
      <c r="Z44" s="13">
        <v>0</v>
      </c>
    </row>
    <row r="45" spans="1:26">
      <c r="A45" s="11" t="s">
        <v>167</v>
      </c>
      <c r="B45" s="11" t="s">
        <v>108</v>
      </c>
      <c r="C45" s="11">
        <v>447401.11342465802</v>
      </c>
      <c r="D45" s="11">
        <v>7194801.8422097303</v>
      </c>
      <c r="E45" s="12" t="s">
        <v>104</v>
      </c>
      <c r="F45" s="13">
        <v>4.02E-2</v>
      </c>
      <c r="G45" s="13">
        <v>2.63E-3</v>
      </c>
      <c r="H45" s="13">
        <v>33</v>
      </c>
      <c r="I45" s="13">
        <v>32.51</v>
      </c>
      <c r="J45" s="13">
        <v>0.23200000000000001</v>
      </c>
      <c r="K45" s="13">
        <v>233</v>
      </c>
      <c r="L45" s="13">
        <v>7.32</v>
      </c>
      <c r="M45" s="13">
        <f t="shared" si="0"/>
        <v>32.51</v>
      </c>
      <c r="N45" s="13">
        <v>0</v>
      </c>
      <c r="O45" s="13">
        <v>9.16</v>
      </c>
      <c r="P45" s="13">
        <v>10.97</v>
      </c>
      <c r="Q45" s="13">
        <v>10.220000000000001</v>
      </c>
      <c r="R45" s="13">
        <v>18.2</v>
      </c>
      <c r="S45" s="13">
        <v>5.58</v>
      </c>
      <c r="T45" s="13">
        <v>16.260000000000002</v>
      </c>
      <c r="U45" s="13">
        <v>0.03</v>
      </c>
      <c r="V45" s="13">
        <v>5.0000000000000001E-4</v>
      </c>
      <c r="W45" s="13">
        <v>0.05</v>
      </c>
      <c r="X45" s="13">
        <v>0.05</v>
      </c>
      <c r="Y45" s="13">
        <v>0.1</v>
      </c>
      <c r="Z45" s="13">
        <v>0</v>
      </c>
    </row>
    <row r="46" spans="1:26">
      <c r="A46" s="11" t="s">
        <v>168</v>
      </c>
      <c r="B46" s="11" t="s">
        <v>109</v>
      </c>
      <c r="C46" s="11">
        <v>445638.08374384401</v>
      </c>
      <c r="D46" s="11">
        <v>7191475.9828871703</v>
      </c>
      <c r="E46" s="12" t="s">
        <v>110</v>
      </c>
      <c r="F46" s="13">
        <v>0.125</v>
      </c>
      <c r="G46" s="13">
        <v>2.5000000000000001E-3</v>
      </c>
      <c r="H46" s="15">
        <v>16</v>
      </c>
      <c r="I46" s="13">
        <v>31.02</v>
      </c>
      <c r="J46" s="13">
        <v>7.4999999999999997E-2</v>
      </c>
      <c r="K46" s="13">
        <v>155</v>
      </c>
      <c r="L46" s="13">
        <v>6.61</v>
      </c>
      <c r="M46" s="13">
        <v>31.02</v>
      </c>
      <c r="N46" s="13">
        <v>0</v>
      </c>
      <c r="O46" s="13">
        <v>3.54</v>
      </c>
      <c r="P46" s="13">
        <v>3.85</v>
      </c>
      <c r="Q46" s="13">
        <v>11.03</v>
      </c>
      <c r="R46" s="13">
        <v>7.17</v>
      </c>
      <c r="S46" s="13">
        <v>4.0999999999999996</v>
      </c>
      <c r="T46" s="13">
        <v>7.99</v>
      </c>
      <c r="U46" s="13">
        <v>0.03</v>
      </c>
      <c r="V46" s="13">
        <v>5.0000000000000001E-4</v>
      </c>
      <c r="W46" s="13">
        <v>0.05</v>
      </c>
      <c r="X46" s="13">
        <v>0.05</v>
      </c>
      <c r="Y46" s="13">
        <v>0.1</v>
      </c>
      <c r="Z46" s="13">
        <v>0</v>
      </c>
    </row>
    <row r="47" spans="1:26">
      <c r="A47" s="11" t="s">
        <v>169</v>
      </c>
      <c r="B47" s="11" t="s">
        <v>111</v>
      </c>
      <c r="C47" s="11">
        <v>448770.653786271</v>
      </c>
      <c r="D47" s="11">
        <v>7191088.85374864</v>
      </c>
      <c r="E47" s="12" t="s">
        <v>110</v>
      </c>
      <c r="F47" s="13">
        <v>1.4999999999999999E-2</v>
      </c>
      <c r="G47" s="13">
        <v>2.5000000000000001E-3</v>
      </c>
      <c r="H47" s="15">
        <v>26.7</v>
      </c>
      <c r="I47" s="13">
        <v>30.15</v>
      </c>
      <c r="J47" s="13">
        <v>0.31</v>
      </c>
      <c r="K47" s="13">
        <v>249</v>
      </c>
      <c r="L47" s="13">
        <v>6.06</v>
      </c>
      <c r="M47" s="13">
        <v>30.15</v>
      </c>
      <c r="N47" s="13">
        <v>0</v>
      </c>
      <c r="O47" s="13">
        <v>5.2</v>
      </c>
      <c r="P47" s="13">
        <v>8.2200000000000006</v>
      </c>
      <c r="Q47" s="13">
        <v>17.170000000000002</v>
      </c>
      <c r="R47" s="13">
        <v>8.74</v>
      </c>
      <c r="S47" s="13">
        <v>8.31</v>
      </c>
      <c r="T47" s="13">
        <v>17.739999999999998</v>
      </c>
      <c r="U47" s="13">
        <v>0.03</v>
      </c>
      <c r="V47" s="13">
        <v>5.0000000000000001E-4</v>
      </c>
      <c r="W47" s="13">
        <v>0.05</v>
      </c>
      <c r="X47" s="13">
        <v>0.05</v>
      </c>
      <c r="Y47" s="13">
        <v>0.1</v>
      </c>
      <c r="Z47" s="13">
        <v>0</v>
      </c>
    </row>
    <row r="48" spans="1:26">
      <c r="A48" s="11" t="s">
        <v>170</v>
      </c>
      <c r="B48" s="11" t="s">
        <v>112</v>
      </c>
      <c r="C48" s="11">
        <v>440241.09701151203</v>
      </c>
      <c r="D48" s="11">
        <v>7199439.9615142001</v>
      </c>
      <c r="E48" s="12" t="s">
        <v>113</v>
      </c>
      <c r="F48" s="13">
        <v>1.4999999999999999E-2</v>
      </c>
      <c r="G48" s="13">
        <v>2.5000000000000001E-3</v>
      </c>
      <c r="H48" s="13">
        <v>134</v>
      </c>
      <c r="I48" s="13">
        <v>20.69</v>
      </c>
      <c r="J48" s="13">
        <v>0.38900000000000001</v>
      </c>
      <c r="K48" s="13">
        <v>468</v>
      </c>
      <c r="L48" s="13">
        <v>6.78</v>
      </c>
      <c r="M48" s="13">
        <v>20.69</v>
      </c>
      <c r="N48" s="13">
        <v>0</v>
      </c>
      <c r="O48" s="13">
        <v>123.22</v>
      </c>
      <c r="P48" s="13">
        <v>16.257999999999999</v>
      </c>
      <c r="Q48" s="13">
        <v>22.48</v>
      </c>
      <c r="R48" s="13">
        <v>20</v>
      </c>
      <c r="S48" s="13">
        <v>15</v>
      </c>
      <c r="T48" s="13">
        <v>29.99</v>
      </c>
      <c r="U48" s="13">
        <v>0.03</v>
      </c>
      <c r="V48" s="13">
        <v>5.0000000000000001E-4</v>
      </c>
      <c r="W48" s="13">
        <v>0.05</v>
      </c>
      <c r="X48" s="13">
        <v>0.05</v>
      </c>
      <c r="Y48" s="13">
        <v>0.1</v>
      </c>
      <c r="Z48" s="13">
        <v>0</v>
      </c>
    </row>
    <row r="49" spans="1:26">
      <c r="A49" s="11" t="s">
        <v>171</v>
      </c>
      <c r="B49" s="11" t="s">
        <v>114</v>
      </c>
      <c r="C49" s="11">
        <v>442884.067579119</v>
      </c>
      <c r="D49" s="11">
        <v>7200637.6498406697</v>
      </c>
      <c r="E49" s="12" t="s">
        <v>113</v>
      </c>
      <c r="F49" s="13">
        <v>5.0599999999999999E-2</v>
      </c>
      <c r="G49" s="13">
        <v>2.5000000000000001E-3</v>
      </c>
      <c r="H49" s="13">
        <v>102</v>
      </c>
      <c r="I49" s="13">
        <v>13.29</v>
      </c>
      <c r="J49" s="13">
        <v>0.624</v>
      </c>
      <c r="K49" s="13">
        <v>378</v>
      </c>
      <c r="L49" s="13">
        <v>6.29</v>
      </c>
      <c r="M49" s="13">
        <v>12.29</v>
      </c>
      <c r="N49" s="13">
        <v>0</v>
      </c>
      <c r="O49" s="13">
        <v>116.15</v>
      </c>
      <c r="P49" s="13">
        <v>13.57</v>
      </c>
      <c r="Q49" s="13">
        <v>24.12</v>
      </c>
      <c r="R49" s="13">
        <v>17.8</v>
      </c>
      <c r="S49" s="13">
        <v>12.4</v>
      </c>
      <c r="T49" s="13">
        <v>33.99</v>
      </c>
      <c r="U49" s="13">
        <v>0.03</v>
      </c>
      <c r="V49" s="13">
        <v>5.0000000000000001E-4</v>
      </c>
      <c r="W49" s="13">
        <v>0.05</v>
      </c>
      <c r="X49" s="13">
        <v>0.05</v>
      </c>
      <c r="Y49" s="13">
        <v>0.1</v>
      </c>
      <c r="Z49" s="13">
        <v>0</v>
      </c>
    </row>
    <row r="50" spans="1:26">
      <c r="A50" s="11" t="s">
        <v>172</v>
      </c>
      <c r="B50" s="11" t="s">
        <v>115</v>
      </c>
      <c r="C50" s="11">
        <v>433551.786332761</v>
      </c>
      <c r="D50" s="11">
        <v>7203004.6200012797</v>
      </c>
      <c r="E50" s="12" t="s">
        <v>116</v>
      </c>
      <c r="F50" s="13">
        <v>1.4999999999999999E-2</v>
      </c>
      <c r="G50" s="13">
        <v>2.5000000000000001E-3</v>
      </c>
      <c r="H50" s="13">
        <v>49.7</v>
      </c>
      <c r="I50" s="13">
        <v>155.63</v>
      </c>
      <c r="J50" s="13">
        <v>0.87</v>
      </c>
      <c r="K50" s="13">
        <v>680</v>
      </c>
      <c r="L50" s="13">
        <v>7.68</v>
      </c>
      <c r="M50" s="13">
        <v>155.63</v>
      </c>
      <c r="N50" s="13">
        <v>0</v>
      </c>
      <c r="O50" s="13">
        <v>55.15</v>
      </c>
      <c r="P50" s="13">
        <v>11.18</v>
      </c>
      <c r="Q50" s="13">
        <v>24.93</v>
      </c>
      <c r="R50" s="13">
        <v>76.7</v>
      </c>
      <c r="S50" s="13">
        <v>13.3</v>
      </c>
      <c r="T50" s="13">
        <v>45.49</v>
      </c>
      <c r="U50" s="13">
        <v>0.03</v>
      </c>
      <c r="V50" s="13">
        <v>5.0000000000000001E-4</v>
      </c>
      <c r="W50" s="13">
        <v>0.05</v>
      </c>
      <c r="X50" s="13">
        <v>0.05</v>
      </c>
      <c r="Y50" s="13">
        <v>0.1</v>
      </c>
      <c r="Z50" s="13">
        <v>0</v>
      </c>
    </row>
    <row r="51" spans="1:26">
      <c r="A51" s="11" t="s">
        <v>173</v>
      </c>
      <c r="B51" s="11" t="s">
        <v>117</v>
      </c>
      <c r="C51" s="11">
        <v>440845.43831156602</v>
      </c>
      <c r="D51" s="11">
        <v>7201683.0993045503</v>
      </c>
      <c r="E51" s="12" t="s">
        <v>116</v>
      </c>
      <c r="F51" s="13">
        <v>1.4999999999999999E-2</v>
      </c>
      <c r="G51" s="13">
        <v>2.5000000000000001E-3</v>
      </c>
      <c r="H51" s="13">
        <v>57.3</v>
      </c>
      <c r="I51" s="13">
        <v>31.16</v>
      </c>
      <c r="J51" s="13">
        <v>0.316</v>
      </c>
      <c r="K51" s="13">
        <v>275</v>
      </c>
      <c r="L51" s="13">
        <v>7.01</v>
      </c>
      <c r="M51" s="13">
        <v>31.16</v>
      </c>
      <c r="N51" s="13">
        <v>0</v>
      </c>
      <c r="O51" s="13">
        <v>8.2799999999999994</v>
      </c>
      <c r="P51" s="13">
        <v>8.77</v>
      </c>
      <c r="Q51" s="13">
        <v>16.350000000000001</v>
      </c>
      <c r="R51" s="13">
        <v>10.9</v>
      </c>
      <c r="S51" s="13">
        <v>10.9</v>
      </c>
      <c r="T51" s="14">
        <v>21.68</v>
      </c>
      <c r="U51" s="13">
        <v>0.03</v>
      </c>
      <c r="V51" s="13">
        <v>5.0000000000000001E-4</v>
      </c>
      <c r="W51" s="13">
        <v>0.05</v>
      </c>
      <c r="X51" s="13">
        <v>0.05</v>
      </c>
      <c r="Y51" s="13">
        <v>0.1</v>
      </c>
      <c r="Z51" s="13">
        <v>0</v>
      </c>
    </row>
    <row r="52" spans="1:26">
      <c r="A52" s="11" t="s">
        <v>174</v>
      </c>
      <c r="B52" s="11" t="s">
        <v>118</v>
      </c>
      <c r="C52" s="11">
        <v>445240.45867724298</v>
      </c>
      <c r="D52" s="11">
        <v>7208328.8522650003</v>
      </c>
      <c r="E52" s="12" t="s">
        <v>119</v>
      </c>
      <c r="F52" s="13">
        <v>1.4999999999999999E-2</v>
      </c>
      <c r="G52" s="13">
        <v>2.5000000000000001E-3</v>
      </c>
      <c r="H52" s="13">
        <v>6.34</v>
      </c>
      <c r="I52" s="13">
        <v>46.26</v>
      </c>
      <c r="J52" s="13">
        <v>0.38600000000000001</v>
      </c>
      <c r="K52" s="13">
        <v>149</v>
      </c>
      <c r="L52" s="13">
        <v>7.06</v>
      </c>
      <c r="M52" s="13">
        <v>46.26</v>
      </c>
      <c r="N52" s="13">
        <v>0</v>
      </c>
      <c r="O52" s="13">
        <v>5.44</v>
      </c>
      <c r="P52" s="13">
        <v>0.95899999999999996</v>
      </c>
      <c r="Q52" s="13">
        <v>3.27</v>
      </c>
      <c r="R52" s="13">
        <v>23.8</v>
      </c>
      <c r="S52" s="13">
        <v>1.9</v>
      </c>
      <c r="T52" s="13">
        <v>1.48</v>
      </c>
      <c r="U52" s="13">
        <v>0.03</v>
      </c>
      <c r="V52" s="13">
        <v>5.0000000000000001E-4</v>
      </c>
      <c r="W52" s="13">
        <v>0.05</v>
      </c>
      <c r="X52" s="13">
        <v>0.05</v>
      </c>
      <c r="Y52" s="13">
        <v>0.1</v>
      </c>
      <c r="Z52" s="13">
        <v>0</v>
      </c>
    </row>
    <row r="53" spans="1:26">
      <c r="A53" s="11" t="s">
        <v>175</v>
      </c>
      <c r="B53" s="11" t="s">
        <v>120</v>
      </c>
      <c r="C53" s="11">
        <v>440283.74919897801</v>
      </c>
      <c r="D53" s="11">
        <v>7205499.3411832899</v>
      </c>
      <c r="E53" s="12" t="s">
        <v>121</v>
      </c>
      <c r="F53" s="13">
        <v>1.4999999999999999E-2</v>
      </c>
      <c r="G53" s="13">
        <v>2.5000000000000001E-3</v>
      </c>
      <c r="H53" s="13">
        <v>67.3</v>
      </c>
      <c r="I53" s="13">
        <v>15.76</v>
      </c>
      <c r="J53" s="13">
        <v>0.47399999999999998</v>
      </c>
      <c r="K53" s="13">
        <v>945</v>
      </c>
      <c r="L53" s="13">
        <v>5.92</v>
      </c>
      <c r="M53" s="13">
        <v>15.76</v>
      </c>
      <c r="N53" s="13">
        <v>0</v>
      </c>
      <c r="O53" s="13">
        <v>16.84</v>
      </c>
      <c r="P53" s="13">
        <v>9.41</v>
      </c>
      <c r="Q53" s="13">
        <v>22.08</v>
      </c>
      <c r="R53" s="13">
        <v>97.7</v>
      </c>
      <c r="S53" s="13">
        <v>17.5</v>
      </c>
      <c r="T53" s="13">
        <v>192.17</v>
      </c>
      <c r="U53" s="13">
        <v>0.03</v>
      </c>
      <c r="V53" s="13">
        <v>5.0000000000000001E-4</v>
      </c>
      <c r="W53" s="13">
        <v>0.05</v>
      </c>
      <c r="X53" s="13">
        <v>0.05</v>
      </c>
      <c r="Y53" s="13">
        <v>0.1</v>
      </c>
      <c r="Z53" s="13">
        <v>0</v>
      </c>
    </row>
    <row r="54" spans="1:26">
      <c r="A54" s="11" t="s">
        <v>176</v>
      </c>
      <c r="B54" s="11" t="s">
        <v>122</v>
      </c>
      <c r="C54" s="11">
        <v>435576.19603942899</v>
      </c>
      <c r="D54" s="11">
        <v>7200949.9053997695</v>
      </c>
      <c r="E54" s="12" t="s">
        <v>121</v>
      </c>
      <c r="F54" s="13">
        <v>4.0599999999999997E-2</v>
      </c>
      <c r="G54" s="13">
        <v>2.5000000000000001E-3</v>
      </c>
      <c r="H54" s="13">
        <v>82.36</v>
      </c>
      <c r="I54" s="13">
        <v>15.08</v>
      </c>
      <c r="J54" s="13">
        <v>0.316</v>
      </c>
      <c r="K54" s="13">
        <v>462</v>
      </c>
      <c r="L54" s="13">
        <v>6.02</v>
      </c>
      <c r="M54" s="13">
        <v>15.08</v>
      </c>
      <c r="N54" s="13">
        <v>0</v>
      </c>
      <c r="O54" s="13">
        <v>8.91</v>
      </c>
      <c r="P54" s="13">
        <v>9.83</v>
      </c>
      <c r="Q54" s="13">
        <v>32.700000000000003</v>
      </c>
      <c r="R54" s="13">
        <v>22.5</v>
      </c>
      <c r="S54" s="13">
        <v>13.2</v>
      </c>
      <c r="T54" s="14">
        <v>45.3</v>
      </c>
      <c r="U54" s="13">
        <v>0.03</v>
      </c>
      <c r="V54" s="13">
        <v>5.0000000000000001E-4</v>
      </c>
      <c r="W54" s="13">
        <v>0.05</v>
      </c>
      <c r="X54" s="13">
        <v>0.05</v>
      </c>
      <c r="Y54" s="13">
        <v>0.1</v>
      </c>
      <c r="Z54" s="13">
        <v>0</v>
      </c>
    </row>
    <row r="55" spans="1:26">
      <c r="A55" s="11" t="s">
        <v>177</v>
      </c>
      <c r="B55" s="11" t="s">
        <v>123</v>
      </c>
      <c r="C55" s="11">
        <v>447270</v>
      </c>
      <c r="D55" s="11">
        <v>7210100</v>
      </c>
      <c r="E55" s="12" t="s">
        <v>124</v>
      </c>
      <c r="F55" s="13">
        <v>1.4999999999999999E-2</v>
      </c>
      <c r="G55" s="13">
        <v>2.5000000000000001E-3</v>
      </c>
      <c r="H55" s="13">
        <v>0.26200000000000001</v>
      </c>
      <c r="I55" s="13">
        <v>201</v>
      </c>
      <c r="J55" s="13">
        <v>5.64</v>
      </c>
      <c r="K55" s="13">
        <v>2410</v>
      </c>
      <c r="L55" s="13">
        <v>7.64</v>
      </c>
      <c r="M55" s="13">
        <v>201</v>
      </c>
      <c r="N55" s="13">
        <v>0</v>
      </c>
      <c r="O55" s="13">
        <v>239.45</v>
      </c>
      <c r="P55" s="13">
        <v>30.1</v>
      </c>
      <c r="Q55" s="13">
        <v>6.95</v>
      </c>
      <c r="R55" s="13">
        <v>388</v>
      </c>
      <c r="S55" s="13">
        <v>8.9</v>
      </c>
      <c r="T55" s="13">
        <v>453.3</v>
      </c>
      <c r="U55" s="13">
        <v>0.03</v>
      </c>
      <c r="V55" s="13">
        <v>5.0000000000000001E-4</v>
      </c>
      <c r="W55" s="13">
        <v>0.05</v>
      </c>
      <c r="X55" s="13">
        <v>0.05</v>
      </c>
      <c r="Y55" s="13">
        <v>0.1</v>
      </c>
      <c r="Z55" s="13">
        <v>0</v>
      </c>
    </row>
    <row r="56" spans="1:26">
      <c r="A56" s="11" t="s">
        <v>178</v>
      </c>
      <c r="B56" s="11" t="s">
        <v>125</v>
      </c>
      <c r="C56" s="11">
        <v>449214</v>
      </c>
      <c r="D56" s="11">
        <v>7212388</v>
      </c>
      <c r="E56" s="12" t="s">
        <v>124</v>
      </c>
      <c r="F56" s="13">
        <v>1.4999999999999999E-2</v>
      </c>
      <c r="G56" s="13">
        <v>2.5000000000000001E-3</v>
      </c>
      <c r="H56" s="13">
        <v>15.7</v>
      </c>
      <c r="I56" s="13">
        <v>192.96</v>
      </c>
      <c r="J56" s="13">
        <v>2.35</v>
      </c>
      <c r="K56" s="13">
        <v>1072</v>
      </c>
      <c r="L56" s="13">
        <v>8.14</v>
      </c>
      <c r="M56" s="13">
        <v>196.96</v>
      </c>
      <c r="N56" s="13">
        <v>0</v>
      </c>
      <c r="O56" s="13">
        <v>37.11</v>
      </c>
      <c r="P56" s="13">
        <v>4.8600000000000003</v>
      </c>
      <c r="Q56" s="13">
        <v>6.13</v>
      </c>
      <c r="R56" s="13">
        <v>179.4</v>
      </c>
      <c r="S56" s="13">
        <v>3.04</v>
      </c>
      <c r="T56" s="13">
        <v>157.68</v>
      </c>
      <c r="U56" s="13">
        <v>0.03</v>
      </c>
      <c r="V56" s="13">
        <v>5.0000000000000001E-4</v>
      </c>
      <c r="W56" s="13">
        <v>0.05</v>
      </c>
      <c r="X56" s="13">
        <v>0.05</v>
      </c>
      <c r="Y56" s="13">
        <v>0.1</v>
      </c>
      <c r="Z56" s="13">
        <v>0</v>
      </c>
    </row>
    <row r="57" spans="1:26">
      <c r="A57" s="11" t="s">
        <v>179</v>
      </c>
      <c r="B57" s="11" t="s">
        <v>126</v>
      </c>
      <c r="C57" s="11">
        <v>445242</v>
      </c>
      <c r="D57" s="11">
        <v>7199682</v>
      </c>
      <c r="E57" s="12" t="s">
        <v>127</v>
      </c>
      <c r="F57" s="13">
        <v>0.06</v>
      </c>
      <c r="G57" s="13">
        <v>2.5000000000000001E-3</v>
      </c>
      <c r="H57" s="13">
        <v>14.09</v>
      </c>
      <c r="I57" s="13">
        <v>48.24</v>
      </c>
      <c r="J57" s="13">
        <v>0.93400000000000005</v>
      </c>
      <c r="K57" s="13">
        <v>305</v>
      </c>
      <c r="L57" s="13">
        <v>6.99</v>
      </c>
      <c r="M57" s="13">
        <v>48.24</v>
      </c>
      <c r="N57" s="13">
        <v>0</v>
      </c>
      <c r="O57" s="13">
        <v>1.62</v>
      </c>
      <c r="P57" s="13">
        <v>11.42</v>
      </c>
      <c r="Q57" s="13">
        <v>0.32800000000000001</v>
      </c>
      <c r="R57" s="13">
        <v>22.2</v>
      </c>
      <c r="S57" s="13">
        <v>3.44</v>
      </c>
      <c r="T57" s="13">
        <v>20.69</v>
      </c>
      <c r="U57" s="13">
        <v>0.03</v>
      </c>
      <c r="V57" s="13">
        <v>5.0000000000000001E-4</v>
      </c>
      <c r="W57" s="13">
        <v>0.05</v>
      </c>
      <c r="X57" s="13">
        <v>0.05</v>
      </c>
      <c r="Y57" s="13">
        <v>0.1</v>
      </c>
      <c r="Z57" s="13">
        <v>100</v>
      </c>
    </row>
    <row r="58" spans="1:26">
      <c r="A58" s="11" t="s">
        <v>180</v>
      </c>
      <c r="B58" s="11" t="s">
        <v>128</v>
      </c>
      <c r="C58" s="11">
        <v>441179</v>
      </c>
      <c r="D58" s="11">
        <v>7198019</v>
      </c>
      <c r="E58" s="12" t="s">
        <v>127</v>
      </c>
      <c r="F58" s="13">
        <v>1.4999999999999999E-2</v>
      </c>
      <c r="G58" s="13">
        <v>2.5000000000000001E-3</v>
      </c>
      <c r="H58" s="13">
        <v>14.6</v>
      </c>
      <c r="I58" s="13">
        <v>50.24</v>
      </c>
      <c r="J58" s="13">
        <v>0.31</v>
      </c>
      <c r="K58" s="13">
        <v>161.5</v>
      </c>
      <c r="L58" s="13">
        <v>7.82</v>
      </c>
      <c r="M58" s="13">
        <v>50.24</v>
      </c>
      <c r="N58" s="13">
        <v>5.69</v>
      </c>
      <c r="O58" s="13">
        <v>2.09</v>
      </c>
      <c r="P58" s="13">
        <v>3.35</v>
      </c>
      <c r="Q58" s="13">
        <v>11.45</v>
      </c>
      <c r="R58" s="13">
        <v>9.19</v>
      </c>
      <c r="S58" s="13">
        <v>5.69</v>
      </c>
      <c r="T58" s="13">
        <v>4.43</v>
      </c>
      <c r="U58" s="13">
        <v>0.03</v>
      </c>
      <c r="V58" s="13">
        <v>5.0000000000000001E-4</v>
      </c>
      <c r="W58" s="13">
        <v>0.05</v>
      </c>
      <c r="X58" s="13">
        <v>0.05</v>
      </c>
      <c r="Y58" s="13">
        <v>0.1</v>
      </c>
      <c r="Z58" s="13">
        <v>0</v>
      </c>
    </row>
    <row r="59" spans="1:26">
      <c r="A59" s="11" t="s">
        <v>181</v>
      </c>
      <c r="B59" s="11" t="s">
        <v>129</v>
      </c>
      <c r="C59" s="11">
        <v>439228</v>
      </c>
      <c r="D59" s="11">
        <v>7192551</v>
      </c>
      <c r="E59" s="12" t="s">
        <v>130</v>
      </c>
      <c r="F59" s="13">
        <v>12.02</v>
      </c>
      <c r="G59" s="13">
        <v>2.5000000000000001E-3</v>
      </c>
      <c r="H59" s="13">
        <v>234</v>
      </c>
      <c r="I59" s="13">
        <v>73.88</v>
      </c>
      <c r="J59" s="13">
        <v>0.38900000000000001</v>
      </c>
      <c r="K59" s="13">
        <v>843</v>
      </c>
      <c r="L59" s="13">
        <v>5.58</v>
      </c>
      <c r="M59" s="13">
        <v>73.88</v>
      </c>
      <c r="N59" s="13">
        <v>0</v>
      </c>
      <c r="O59" s="13">
        <v>18.57</v>
      </c>
      <c r="P59" s="13">
        <v>52.25</v>
      </c>
      <c r="Q59" s="13">
        <v>3.27</v>
      </c>
      <c r="R59" s="13">
        <v>48.9</v>
      </c>
      <c r="S59" s="13">
        <v>19.2</v>
      </c>
      <c r="T59" s="13">
        <v>112.35</v>
      </c>
      <c r="U59" s="13">
        <v>0.03</v>
      </c>
      <c r="V59" s="13">
        <v>5.0000000000000001E-4</v>
      </c>
      <c r="W59" s="13">
        <v>0.05</v>
      </c>
      <c r="X59" s="13">
        <v>0.05</v>
      </c>
      <c r="Y59" s="13">
        <v>0.1</v>
      </c>
      <c r="Z59" s="13">
        <v>0</v>
      </c>
    </row>
    <row r="60" spans="1:26">
      <c r="A60" s="11" t="s">
        <v>182</v>
      </c>
      <c r="B60" s="11" t="s">
        <v>131</v>
      </c>
      <c r="C60" s="11">
        <v>441924</v>
      </c>
      <c r="D60" s="11">
        <v>7195234</v>
      </c>
      <c r="E60" s="12" t="s">
        <v>130</v>
      </c>
      <c r="F60" s="13">
        <v>1.4999999999999999E-2</v>
      </c>
      <c r="G60" s="13">
        <v>2.5000000000000001E-3</v>
      </c>
      <c r="H60" s="13">
        <v>76.11</v>
      </c>
      <c r="I60" s="13">
        <v>30.15</v>
      </c>
      <c r="J60" s="13">
        <v>0.23200000000000001</v>
      </c>
      <c r="K60" s="13">
        <v>411</v>
      </c>
      <c r="L60" s="13">
        <v>6.99</v>
      </c>
      <c r="M60" s="13">
        <v>30.15</v>
      </c>
      <c r="N60" s="13">
        <v>0</v>
      </c>
      <c r="O60" s="13">
        <v>0</v>
      </c>
      <c r="P60" s="13">
        <v>13.11</v>
      </c>
      <c r="Q60" s="13">
        <v>19.62</v>
      </c>
      <c r="R60" s="13">
        <v>21.1</v>
      </c>
      <c r="S60" s="13">
        <v>15.6</v>
      </c>
      <c r="T60" s="13">
        <v>54.2</v>
      </c>
      <c r="U60" s="13">
        <v>0.03</v>
      </c>
      <c r="V60" s="13">
        <v>5.0000000000000001E-4</v>
      </c>
      <c r="W60" s="13">
        <v>0.05</v>
      </c>
      <c r="X60" s="13">
        <v>0.05</v>
      </c>
      <c r="Y60" s="13">
        <v>0.1</v>
      </c>
      <c r="Z60" s="13">
        <v>0</v>
      </c>
    </row>
    <row r="61" spans="1:26">
      <c r="A61" s="11" t="s">
        <v>183</v>
      </c>
      <c r="B61" s="11" t="s">
        <v>132</v>
      </c>
      <c r="C61" s="11">
        <v>455983</v>
      </c>
      <c r="D61" s="11">
        <v>7205903</v>
      </c>
      <c r="E61" s="12" t="s">
        <v>133</v>
      </c>
      <c r="F61" s="13">
        <v>1.4999999999999999E-2</v>
      </c>
      <c r="G61" s="13">
        <v>2.5000000000000001E-3</v>
      </c>
      <c r="H61" s="13">
        <v>11.72</v>
      </c>
      <c r="I61" s="13">
        <v>12.06</v>
      </c>
      <c r="J61" s="13">
        <v>0.23200000000000001</v>
      </c>
      <c r="K61" s="13">
        <v>77.400000000000006</v>
      </c>
      <c r="L61" s="13">
        <v>6.78</v>
      </c>
      <c r="M61" s="13">
        <v>12.06</v>
      </c>
      <c r="N61" s="13">
        <v>0</v>
      </c>
      <c r="O61" s="13">
        <v>1.38</v>
      </c>
      <c r="P61" s="13">
        <v>2.57</v>
      </c>
      <c r="Q61" s="13">
        <v>4.09</v>
      </c>
      <c r="R61" s="13">
        <v>3.33</v>
      </c>
      <c r="S61" s="13">
        <v>0.997</v>
      </c>
      <c r="T61" s="13">
        <v>6.89</v>
      </c>
      <c r="U61" s="13">
        <v>0.03</v>
      </c>
      <c r="V61" s="13">
        <v>5.0000000000000001E-4</v>
      </c>
      <c r="W61" s="13">
        <v>0.05</v>
      </c>
      <c r="X61" s="13">
        <v>0.05</v>
      </c>
      <c r="Y61" s="13">
        <v>0.1</v>
      </c>
      <c r="Z61" s="13">
        <v>0</v>
      </c>
    </row>
    <row r="62" spans="1:26">
      <c r="A62" s="11" t="s">
        <v>184</v>
      </c>
      <c r="B62" s="11" t="s">
        <v>134</v>
      </c>
      <c r="C62" s="11">
        <v>444823</v>
      </c>
      <c r="D62" s="11">
        <v>7203560</v>
      </c>
      <c r="E62" s="12" t="s">
        <v>133</v>
      </c>
      <c r="F62" s="13">
        <v>5.09</v>
      </c>
      <c r="G62" s="13">
        <v>8.3000000000000004E-2</v>
      </c>
      <c r="H62" s="13">
        <v>0.624</v>
      </c>
      <c r="I62" s="13">
        <v>135.44</v>
      </c>
      <c r="J62" s="13">
        <v>2.58</v>
      </c>
      <c r="K62" s="13">
        <v>379</v>
      </c>
      <c r="L62" s="13">
        <v>7.8</v>
      </c>
      <c r="M62" s="13">
        <v>135.44</v>
      </c>
      <c r="N62" s="13">
        <v>0</v>
      </c>
      <c r="O62" s="13">
        <v>15.3</v>
      </c>
      <c r="P62" s="13">
        <v>15.28</v>
      </c>
      <c r="Q62" s="13">
        <v>34.340000000000003</v>
      </c>
      <c r="R62" s="13">
        <v>64.5</v>
      </c>
      <c r="S62" s="13">
        <v>7.78</v>
      </c>
      <c r="T62" s="13">
        <v>34.49</v>
      </c>
      <c r="U62" s="13">
        <v>0.03</v>
      </c>
      <c r="V62" s="13">
        <v>5.0000000000000001E-4</v>
      </c>
      <c r="W62" s="13">
        <v>0.05</v>
      </c>
      <c r="X62" s="13">
        <v>0.05</v>
      </c>
      <c r="Y62" s="13">
        <v>0.1</v>
      </c>
      <c r="Z62" s="13">
        <v>0</v>
      </c>
    </row>
    <row r="63" spans="1:26">
      <c r="A63" s="11" t="s">
        <v>185</v>
      </c>
      <c r="B63" s="11" t="s">
        <v>135</v>
      </c>
      <c r="C63" s="11">
        <v>449203</v>
      </c>
      <c r="D63" s="11">
        <v>7196477</v>
      </c>
      <c r="E63" s="12" t="s">
        <v>136</v>
      </c>
      <c r="F63" s="13">
        <v>0.90200000000000002</v>
      </c>
      <c r="G63" s="13">
        <v>2.5000000000000001E-3</v>
      </c>
      <c r="H63" s="13">
        <v>129</v>
      </c>
      <c r="I63" s="13">
        <v>21.5</v>
      </c>
      <c r="J63" s="13">
        <v>0.371</v>
      </c>
      <c r="K63" s="13">
        <v>435</v>
      </c>
      <c r="L63" s="13">
        <v>6.07</v>
      </c>
      <c r="M63" s="13">
        <v>21.5</v>
      </c>
      <c r="N63" s="13">
        <v>0</v>
      </c>
      <c r="O63" s="13">
        <v>5.54</v>
      </c>
      <c r="P63" s="13">
        <v>9.5299999999999994</v>
      </c>
      <c r="Q63" s="13">
        <v>19.600000000000001</v>
      </c>
      <c r="R63" s="13">
        <v>31.5</v>
      </c>
      <c r="S63" s="13">
        <v>3.94</v>
      </c>
      <c r="T63" s="13">
        <v>31.4</v>
      </c>
      <c r="U63" s="13">
        <v>0.03</v>
      </c>
      <c r="V63" s="13">
        <v>5.0000000000000001E-4</v>
      </c>
      <c r="W63" s="13">
        <v>0.05</v>
      </c>
      <c r="X63" s="13">
        <v>0.05</v>
      </c>
      <c r="Y63" s="13">
        <v>0.1</v>
      </c>
      <c r="Z63" s="13">
        <v>0</v>
      </c>
    </row>
    <row r="64" spans="1:26">
      <c r="A64" s="11" t="s">
        <v>186</v>
      </c>
      <c r="B64" s="11" t="s">
        <v>137</v>
      </c>
      <c r="C64" s="11">
        <v>452578</v>
      </c>
      <c r="D64" s="11">
        <v>7191977</v>
      </c>
      <c r="E64" s="12" t="s">
        <v>136</v>
      </c>
      <c r="F64" s="13">
        <v>0.80300000000000005</v>
      </c>
      <c r="G64" s="13">
        <v>8.2000000000000007E-3</v>
      </c>
      <c r="H64" s="13">
        <v>77.7</v>
      </c>
      <c r="I64" s="13">
        <v>12.7</v>
      </c>
      <c r="J64" s="13">
        <v>0.14099999999999999</v>
      </c>
      <c r="K64" s="13">
        <v>295</v>
      </c>
      <c r="L64" s="13">
        <v>6.05</v>
      </c>
      <c r="M64" s="13">
        <v>12.7</v>
      </c>
      <c r="N64" s="13">
        <v>0</v>
      </c>
      <c r="O64" s="13">
        <v>5.75</v>
      </c>
      <c r="P64" s="13">
        <v>7.2</v>
      </c>
      <c r="Q64" s="13">
        <v>22.9</v>
      </c>
      <c r="R64" s="13">
        <v>8.86</v>
      </c>
      <c r="S64" s="13">
        <v>2.2000000000000002</v>
      </c>
      <c r="T64" s="13">
        <v>29.1</v>
      </c>
      <c r="U64" s="13">
        <v>0.03</v>
      </c>
      <c r="V64" s="13">
        <v>5.0000000000000001E-4</v>
      </c>
      <c r="W64" s="13">
        <v>0.05</v>
      </c>
      <c r="X64" s="13">
        <v>0.05</v>
      </c>
      <c r="Y64" s="13">
        <v>0.1</v>
      </c>
      <c r="Z64" s="13">
        <v>0</v>
      </c>
    </row>
    <row r="65" spans="1:26">
      <c r="A65" s="11" t="s">
        <v>187</v>
      </c>
      <c r="B65" s="11" t="s">
        <v>138</v>
      </c>
      <c r="C65" s="11">
        <v>441511</v>
      </c>
      <c r="D65" s="11">
        <v>7190322</v>
      </c>
      <c r="E65" s="12" t="s">
        <v>139</v>
      </c>
      <c r="F65" s="13">
        <v>1.4999999999999999E-2</v>
      </c>
      <c r="G65" s="13">
        <v>2.6199999999999999E-3</v>
      </c>
      <c r="H65" s="13">
        <v>28.8</v>
      </c>
      <c r="I65" s="13">
        <v>8.0399999999999991</v>
      </c>
      <c r="J65" s="13">
        <v>1.1299999999999999</v>
      </c>
      <c r="K65" s="13">
        <v>120</v>
      </c>
      <c r="L65" s="13">
        <v>6.17</v>
      </c>
      <c r="M65" s="13">
        <v>8.0399999999999991</v>
      </c>
      <c r="N65" s="13">
        <v>0</v>
      </c>
      <c r="O65" s="13">
        <v>2.59</v>
      </c>
      <c r="P65" s="13">
        <v>3.37</v>
      </c>
      <c r="Q65" s="13">
        <v>5.66</v>
      </c>
      <c r="R65" s="13">
        <v>1.99</v>
      </c>
      <c r="S65" s="13">
        <v>4.63</v>
      </c>
      <c r="T65" s="13">
        <v>8.3699999999999992</v>
      </c>
      <c r="U65" s="13">
        <v>0.03</v>
      </c>
      <c r="V65" s="13">
        <v>5.0000000000000001E-4</v>
      </c>
      <c r="W65" s="13">
        <v>0.05</v>
      </c>
      <c r="X65" s="13">
        <v>0.05</v>
      </c>
      <c r="Y65" s="13">
        <v>0.1</v>
      </c>
      <c r="Z65" s="13">
        <v>0</v>
      </c>
    </row>
    <row r="66" spans="1:26">
      <c r="A66" s="11" t="s">
        <v>188</v>
      </c>
      <c r="B66" s="11" t="s">
        <v>140</v>
      </c>
      <c r="C66" s="11">
        <v>452294</v>
      </c>
      <c r="D66" s="11">
        <v>7188281</v>
      </c>
      <c r="E66" s="12" t="s">
        <v>139</v>
      </c>
      <c r="F66" s="13">
        <v>1.4999999999999999E-2</v>
      </c>
      <c r="G66" s="13">
        <v>2.5000000000000001E-3</v>
      </c>
      <c r="H66" s="13">
        <v>0.251</v>
      </c>
      <c r="I66" s="13">
        <v>50.2</v>
      </c>
      <c r="J66" s="13">
        <v>4.8600000000000003</v>
      </c>
      <c r="K66" s="13">
        <v>76.2</v>
      </c>
      <c r="L66" s="13">
        <v>6.45</v>
      </c>
      <c r="M66" s="13">
        <v>50.2</v>
      </c>
      <c r="N66" s="13">
        <v>0</v>
      </c>
      <c r="O66" s="13">
        <v>3.76</v>
      </c>
      <c r="P66" s="13">
        <v>2.37</v>
      </c>
      <c r="Q66" s="13">
        <v>8.09</v>
      </c>
      <c r="R66" s="13">
        <v>6.6</v>
      </c>
      <c r="S66" s="13">
        <v>4.88</v>
      </c>
      <c r="T66" s="13">
        <v>7.01</v>
      </c>
      <c r="U66" s="13">
        <v>0.03</v>
      </c>
      <c r="V66" s="13">
        <v>5.0000000000000001E-4</v>
      </c>
      <c r="W66" s="13">
        <v>0.05</v>
      </c>
      <c r="X66" s="13">
        <v>0.05</v>
      </c>
      <c r="Y66" s="13">
        <v>0.1</v>
      </c>
      <c r="Z66" s="13">
        <v>0</v>
      </c>
    </row>
    <row r="67" spans="1:26">
      <c r="A67" s="11" t="s">
        <v>189</v>
      </c>
      <c r="B67" s="11" t="s">
        <v>141</v>
      </c>
      <c r="C67" s="11">
        <v>445119</v>
      </c>
      <c r="D67" s="11">
        <v>7201727</v>
      </c>
      <c r="E67" s="12" t="s">
        <v>142</v>
      </c>
      <c r="F67" s="13">
        <v>1.4999999999999999E-2</v>
      </c>
      <c r="G67" s="13">
        <v>2.5000000000000001E-3</v>
      </c>
      <c r="H67" s="13">
        <v>1.4E-2</v>
      </c>
      <c r="I67" s="13">
        <v>88.9</v>
      </c>
      <c r="J67" s="13">
        <v>0.36799999999999999</v>
      </c>
      <c r="K67" s="13">
        <v>279</v>
      </c>
      <c r="L67" s="13">
        <v>7.66</v>
      </c>
      <c r="M67" s="13">
        <v>88.9</v>
      </c>
      <c r="N67" s="13">
        <v>0</v>
      </c>
      <c r="O67" s="13">
        <v>2.97</v>
      </c>
      <c r="P67" s="13">
        <v>11.4</v>
      </c>
      <c r="Q67" s="13">
        <v>12.1</v>
      </c>
      <c r="R67" s="13">
        <v>27.5</v>
      </c>
      <c r="S67" s="13">
        <v>3.92</v>
      </c>
      <c r="T67" s="13">
        <v>20.2</v>
      </c>
      <c r="U67" s="13">
        <v>0.03</v>
      </c>
      <c r="V67" s="13">
        <v>5.0000000000000001E-4</v>
      </c>
      <c r="W67" s="13">
        <v>0.05</v>
      </c>
      <c r="X67" s="13">
        <v>0.05</v>
      </c>
      <c r="Y67" s="13">
        <v>0.1</v>
      </c>
      <c r="Z67" s="13">
        <v>0</v>
      </c>
    </row>
    <row r="68" spans="1:26">
      <c r="A68" s="11" t="s">
        <v>190</v>
      </c>
      <c r="B68" s="11" t="s">
        <v>143</v>
      </c>
      <c r="C68" s="11">
        <v>440661</v>
      </c>
      <c r="D68" s="11">
        <v>7193539</v>
      </c>
      <c r="E68" s="12" t="s">
        <v>144</v>
      </c>
      <c r="F68" s="13">
        <v>2.5999999999999999E-2</v>
      </c>
      <c r="G68" s="13">
        <v>2.5000000000000001E-3</v>
      </c>
      <c r="H68" s="13">
        <v>60.6</v>
      </c>
      <c r="I68" s="13">
        <v>1.5</v>
      </c>
      <c r="J68" s="13">
        <v>0.29399999999999998</v>
      </c>
      <c r="K68" s="13">
        <v>252</v>
      </c>
      <c r="L68" s="13">
        <v>6.82</v>
      </c>
      <c r="M68" s="13">
        <v>1.5</v>
      </c>
      <c r="N68" s="13">
        <v>0</v>
      </c>
      <c r="O68" s="13">
        <v>3.62</v>
      </c>
      <c r="P68" s="13">
        <v>7.78</v>
      </c>
      <c r="Q68" s="13">
        <v>15.4</v>
      </c>
      <c r="R68" s="13">
        <v>7.26</v>
      </c>
      <c r="S68" s="13">
        <v>6.2</v>
      </c>
      <c r="T68" s="13">
        <v>16.3</v>
      </c>
      <c r="U68" s="13">
        <v>0.03</v>
      </c>
      <c r="V68" s="13">
        <v>5.0000000000000001E-4</v>
      </c>
      <c r="W68" s="13">
        <v>0.05</v>
      </c>
      <c r="X68" s="13">
        <v>0.05</v>
      </c>
      <c r="Y68" s="13">
        <v>0.1</v>
      </c>
      <c r="Z68" s="13">
        <v>18900</v>
      </c>
    </row>
  </sheetData>
  <conditionalFormatting sqref="H23">
    <cfRule type="cellIs" dxfId="1" priority="2" stopIfTrue="1" operator="greaterThan">
      <formula>45</formula>
    </cfRule>
  </conditionalFormatting>
  <conditionalFormatting sqref="H12:H13">
    <cfRule type="cellIs" dxfId="0" priority="1" stopIfTrue="1" operator="greaterThan">
      <formula>45</formula>
    </cfRule>
  </conditionalFormatting>
  <pageMargins left="0.25" right="0.25" top="0.75" bottom="0.75" header="0.3" footer="0.3"/>
  <pageSetup paperSize="9" scale="4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1-66unificado</vt:lpstr>
      <vt:lpstr>Imprimir</vt:lpstr>
      <vt:lpstr>'1-66unificado'!Database</vt:lpstr>
      <vt:lpstr>Imprimir!Database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Báez</dc:creator>
  <cp:lastModifiedBy>Rosario Barrios</cp:lastModifiedBy>
  <cp:lastPrinted>2024-09-16T18:35:00Z</cp:lastPrinted>
  <dcterms:created xsi:type="dcterms:W3CDTF">2023-09-27T16:21:00Z</dcterms:created>
  <dcterms:modified xsi:type="dcterms:W3CDTF">2026-02-21T19:10:55Z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8E8A55C138B14E3BA788CE9D2D8C9DE0_12</vt:lpwstr>
  </property>
  <property fmtid="{D5CDD505-2E9C-101B-9397-08002B2CF9AE}" pid="3" name="KSOProductBuildVer">
    <vt:lpwstr>3082-12.2.0.23196</vt:lpwstr>
  </property>
</Properties>
</file>